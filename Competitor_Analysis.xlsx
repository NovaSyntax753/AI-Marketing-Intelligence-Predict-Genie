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7b48658e83bf210d/Desktop/"/>
    </mc:Choice>
  </mc:AlternateContent>
  <xr:revisionPtr revIDLastSave="17" documentId="8_{DFE15B96-0792-46D8-8955-D45E55EE462E}" xr6:coauthVersionLast="47" xr6:coauthVersionMax="47" xr10:uidLastSave="{0D159ABB-2313-4A01-B764-F2159B9CA004}"/>
  <bookViews>
    <workbookView xWindow="-108" yWindow="-108" windowWidth="23256" windowHeight="12456" xr2:uid="{00000000-000D-0000-FFFF-FFFF00000000}"/>
  </bookViews>
  <sheets>
    <sheet name="Competitor Analysis" sheetId="1" r:id="rId1"/>
  </sheets>
  <calcPr calcId="191029"/>
</workbook>
</file>

<file path=xl/calcChain.xml><?xml version="1.0" encoding="utf-8"?>
<calcChain xmlns="http://schemas.openxmlformats.org/spreadsheetml/2006/main">
  <c r="K194" i="1" l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193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61" i="1"/>
  <c r="AC277" i="1"/>
  <c r="AD277" i="1" s="1"/>
  <c r="AE277" i="1"/>
  <c r="AR277" i="1"/>
  <c r="AG277" i="1"/>
  <c r="AF277" i="1"/>
  <c r="AH277" i="1"/>
  <c r="AC276" i="1"/>
  <c r="AD276" i="1"/>
  <c r="AE276" i="1"/>
  <c r="AR276" i="1"/>
  <c r="AG276" i="1"/>
  <c r="AF276" i="1"/>
  <c r="AH276" i="1"/>
  <c r="AC275" i="1"/>
  <c r="AD275" i="1"/>
  <c r="AE275" i="1"/>
  <c r="AR275" i="1"/>
  <c r="AG275" i="1"/>
  <c r="AF275" i="1"/>
  <c r="AH275" i="1"/>
  <c r="AC274" i="1"/>
  <c r="AD274" i="1"/>
  <c r="AE274" i="1"/>
  <c r="AR274" i="1"/>
  <c r="AG274" i="1"/>
  <c r="AF274" i="1"/>
  <c r="AH274" i="1"/>
  <c r="AC273" i="1"/>
  <c r="AD273" i="1" s="1"/>
  <c r="AR273" i="1"/>
  <c r="AG273" i="1"/>
  <c r="AF273" i="1"/>
  <c r="AH273" i="1"/>
  <c r="AC272" i="1"/>
  <c r="AD272" i="1"/>
  <c r="AE272" i="1"/>
  <c r="AR272" i="1"/>
  <c r="AG272" i="1"/>
  <c r="AF272" i="1"/>
  <c r="AH272" i="1"/>
  <c r="AC271" i="1"/>
  <c r="AD271" i="1"/>
  <c r="AE271" i="1"/>
  <c r="AR271" i="1"/>
  <c r="AG271" i="1"/>
  <c r="AF271" i="1"/>
  <c r="AH271" i="1"/>
  <c r="AC270" i="1"/>
  <c r="AD270" i="1"/>
  <c r="AE270" i="1"/>
  <c r="AR270" i="1"/>
  <c r="AG270" i="1"/>
  <c r="AF270" i="1"/>
  <c r="AH270" i="1"/>
  <c r="AC269" i="1"/>
  <c r="AD269" i="1"/>
  <c r="AE269" i="1"/>
  <c r="AR269" i="1"/>
  <c r="AG269" i="1"/>
  <c r="AF269" i="1"/>
  <c r="AH269" i="1"/>
  <c r="AC268" i="1"/>
  <c r="AD268" i="1"/>
  <c r="AE268" i="1"/>
  <c r="AR268" i="1"/>
  <c r="AG268" i="1"/>
  <c r="AF268" i="1"/>
  <c r="AH268" i="1"/>
  <c r="AC267" i="1"/>
  <c r="AD267" i="1"/>
  <c r="AE267" i="1"/>
  <c r="AR267" i="1"/>
  <c r="AG267" i="1"/>
  <c r="AF267" i="1"/>
  <c r="AH267" i="1"/>
  <c r="AC266" i="1"/>
  <c r="AD266" i="1"/>
  <c r="AE266" i="1"/>
  <c r="AR266" i="1"/>
  <c r="AG266" i="1"/>
  <c r="AF266" i="1"/>
  <c r="AH266" i="1"/>
  <c r="AC265" i="1"/>
  <c r="AD265" i="1" s="1"/>
  <c r="AE265" i="1"/>
  <c r="AR265" i="1"/>
  <c r="AG265" i="1"/>
  <c r="AF265" i="1"/>
  <c r="AH265" i="1"/>
  <c r="AC264" i="1"/>
  <c r="AD264" i="1"/>
  <c r="AE264" i="1"/>
  <c r="AR264" i="1"/>
  <c r="AG264" i="1"/>
  <c r="AF264" i="1"/>
  <c r="AH264" i="1"/>
  <c r="AC263" i="1"/>
  <c r="AD263" i="1"/>
  <c r="AE263" i="1"/>
  <c r="AR263" i="1"/>
  <c r="AG263" i="1"/>
  <c r="AF263" i="1"/>
  <c r="AH263" i="1"/>
  <c r="AC262" i="1"/>
  <c r="AD262" i="1"/>
  <c r="AE262" i="1"/>
  <c r="AR262" i="1"/>
  <c r="AG262" i="1"/>
  <c r="AF262" i="1"/>
  <c r="AH262" i="1"/>
  <c r="AH255" i="1"/>
  <c r="AH256" i="1"/>
  <c r="AH257" i="1"/>
  <c r="AH258" i="1"/>
  <c r="AH259" i="1"/>
  <c r="AH260" i="1"/>
  <c r="AH261" i="1"/>
  <c r="AG255" i="1"/>
  <c r="AG256" i="1"/>
  <c r="AG257" i="1"/>
  <c r="AG258" i="1"/>
  <c r="AG259" i="1"/>
  <c r="AG260" i="1"/>
  <c r="AG261" i="1"/>
  <c r="AF255" i="1"/>
  <c r="AF256" i="1"/>
  <c r="AF257" i="1"/>
  <c r="AF258" i="1"/>
  <c r="AF259" i="1"/>
  <c r="AF260" i="1"/>
  <c r="AF261" i="1"/>
  <c r="AE255" i="1"/>
  <c r="AE256" i="1"/>
  <c r="AE257" i="1"/>
  <c r="AE258" i="1"/>
  <c r="AE259" i="1"/>
  <c r="AE260" i="1"/>
  <c r="AE261" i="1"/>
  <c r="AD255" i="1"/>
  <c r="AD256" i="1"/>
  <c r="AD257" i="1"/>
  <c r="AD258" i="1"/>
  <c r="AD259" i="1"/>
  <c r="AD260" i="1"/>
  <c r="AD261" i="1"/>
  <c r="AC255" i="1"/>
  <c r="AC256" i="1"/>
  <c r="AR256" i="1" s="1"/>
  <c r="AC257" i="1"/>
  <c r="AC258" i="1"/>
  <c r="AC259" i="1"/>
  <c r="AC260" i="1"/>
  <c r="AC261" i="1"/>
  <c r="AC254" i="1"/>
  <c r="AR255" i="1"/>
  <c r="AR257" i="1"/>
  <c r="AR258" i="1"/>
  <c r="AR259" i="1"/>
  <c r="AR260" i="1"/>
  <c r="AR261" i="1"/>
  <c r="AR254" i="1"/>
  <c r="AM254" i="1"/>
  <c r="AM255" i="1"/>
  <c r="AM256" i="1"/>
  <c r="AM257" i="1"/>
  <c r="AM258" i="1"/>
  <c r="AM259" i="1"/>
  <c r="AM260" i="1"/>
  <c r="AM253" i="1"/>
  <c r="AD254" i="1"/>
  <c r="AE254" i="1"/>
  <c r="AG254" i="1"/>
  <c r="AF254" i="1"/>
  <c r="AH254" i="1"/>
  <c r="AM250" i="1"/>
  <c r="AM251" i="1"/>
  <c r="AM252" i="1"/>
  <c r="AM249" i="1"/>
  <c r="AC253" i="1"/>
  <c r="AD253" i="1" s="1"/>
  <c r="AR253" i="1"/>
  <c r="AG253" i="1"/>
  <c r="AF253" i="1"/>
  <c r="AH253" i="1"/>
  <c r="AC252" i="1"/>
  <c r="AD252" i="1"/>
  <c r="AE252" i="1"/>
  <c r="AR252" i="1"/>
  <c r="AG252" i="1"/>
  <c r="AF252" i="1"/>
  <c r="AH252" i="1"/>
  <c r="AC251" i="1"/>
  <c r="AD251" i="1" s="1"/>
  <c r="AE251" i="1"/>
  <c r="AR251" i="1"/>
  <c r="AG251" i="1"/>
  <c r="AF251" i="1"/>
  <c r="AH251" i="1"/>
  <c r="AC250" i="1"/>
  <c r="AD250" i="1"/>
  <c r="AE250" i="1"/>
  <c r="AR250" i="1"/>
  <c r="AG250" i="1"/>
  <c r="AF250" i="1"/>
  <c r="AH250" i="1"/>
  <c r="AM246" i="1"/>
  <c r="AM247" i="1"/>
  <c r="AM248" i="1"/>
  <c r="AM245" i="1"/>
  <c r="AC249" i="1"/>
  <c r="AD249" i="1" s="1"/>
  <c r="AE249" i="1"/>
  <c r="AR249" i="1"/>
  <c r="AG249" i="1"/>
  <c r="AF249" i="1"/>
  <c r="AH249" i="1"/>
  <c r="AC248" i="1"/>
  <c r="AD248" i="1" s="1"/>
  <c r="AR248" i="1"/>
  <c r="AG248" i="1"/>
  <c r="AF248" i="1"/>
  <c r="AH248" i="1"/>
  <c r="AC247" i="1"/>
  <c r="AD247" i="1"/>
  <c r="AE247" i="1"/>
  <c r="AR247" i="1"/>
  <c r="AG247" i="1"/>
  <c r="AF247" i="1"/>
  <c r="AH247" i="1"/>
  <c r="AC246" i="1"/>
  <c r="AD246" i="1" s="1"/>
  <c r="AR246" i="1"/>
  <c r="AG246" i="1"/>
  <c r="AF246" i="1"/>
  <c r="AH246" i="1"/>
  <c r="AM242" i="1"/>
  <c r="AM243" i="1"/>
  <c r="AM244" i="1"/>
  <c r="AM241" i="1"/>
  <c r="AC245" i="1"/>
  <c r="AD245" i="1" s="1"/>
  <c r="AR245" i="1"/>
  <c r="AG245" i="1"/>
  <c r="AF245" i="1"/>
  <c r="AH245" i="1"/>
  <c r="AC244" i="1"/>
  <c r="AD244" i="1" s="1"/>
  <c r="AR244" i="1"/>
  <c r="AG244" i="1"/>
  <c r="AF244" i="1"/>
  <c r="AH244" i="1"/>
  <c r="AC243" i="1"/>
  <c r="AD243" i="1" s="1"/>
  <c r="AR243" i="1"/>
  <c r="AG243" i="1"/>
  <c r="AF243" i="1"/>
  <c r="AH243" i="1"/>
  <c r="AC242" i="1"/>
  <c r="AD242" i="1"/>
  <c r="AE242" i="1"/>
  <c r="AR242" i="1"/>
  <c r="AG242" i="1"/>
  <c r="AF242" i="1"/>
  <c r="AH242" i="1"/>
  <c r="AM238" i="1"/>
  <c r="AM239" i="1"/>
  <c r="AM240" i="1"/>
  <c r="AM237" i="1"/>
  <c r="AC241" i="1"/>
  <c r="AE241" i="1" s="1"/>
  <c r="AD241" i="1"/>
  <c r="AR241" i="1"/>
  <c r="AG241" i="1"/>
  <c r="AF241" i="1"/>
  <c r="AH241" i="1"/>
  <c r="AC240" i="1"/>
  <c r="AD240" i="1" s="1"/>
  <c r="AR240" i="1"/>
  <c r="AG240" i="1"/>
  <c r="AF240" i="1"/>
  <c r="AH240" i="1"/>
  <c r="AC239" i="1"/>
  <c r="AD239" i="1"/>
  <c r="AE239" i="1"/>
  <c r="AR239" i="1"/>
  <c r="AG239" i="1"/>
  <c r="AF239" i="1"/>
  <c r="AH239" i="1"/>
  <c r="AC238" i="1"/>
  <c r="AD238" i="1"/>
  <c r="AE238" i="1"/>
  <c r="AR238" i="1"/>
  <c r="AG238" i="1"/>
  <c r="AF238" i="1"/>
  <c r="AH238" i="1"/>
  <c r="AM234" i="1"/>
  <c r="AM235" i="1"/>
  <c r="AM236" i="1"/>
  <c r="AM233" i="1"/>
  <c r="AC237" i="1"/>
  <c r="AD237" i="1"/>
  <c r="AE237" i="1"/>
  <c r="AR237" i="1"/>
  <c r="AG237" i="1"/>
  <c r="AF237" i="1"/>
  <c r="AH237" i="1"/>
  <c r="AC236" i="1"/>
  <c r="AD236" i="1"/>
  <c r="AE236" i="1"/>
  <c r="AR236" i="1"/>
  <c r="AG236" i="1"/>
  <c r="AF236" i="1"/>
  <c r="AH236" i="1"/>
  <c r="AC235" i="1"/>
  <c r="AD235" i="1"/>
  <c r="AE235" i="1"/>
  <c r="AR235" i="1"/>
  <c r="AG235" i="1"/>
  <c r="AF235" i="1"/>
  <c r="AH235" i="1"/>
  <c r="AC234" i="1"/>
  <c r="AD234" i="1"/>
  <c r="AE234" i="1"/>
  <c r="AR234" i="1"/>
  <c r="AG234" i="1"/>
  <c r="AF234" i="1"/>
  <c r="AH234" i="1"/>
  <c r="AR226" i="1"/>
  <c r="AR227" i="1"/>
  <c r="AR228" i="1"/>
  <c r="AR229" i="1"/>
  <c r="AR230" i="1"/>
  <c r="AR231" i="1"/>
  <c r="AR232" i="1"/>
  <c r="AR233" i="1"/>
  <c r="AR225" i="1"/>
  <c r="AM222" i="1"/>
  <c r="AM223" i="1"/>
  <c r="AM224" i="1"/>
  <c r="AM225" i="1"/>
  <c r="AM226" i="1"/>
  <c r="AM227" i="1"/>
  <c r="AM228" i="1"/>
  <c r="AM229" i="1"/>
  <c r="AM230" i="1"/>
  <c r="AM231" i="1"/>
  <c r="AM232" i="1"/>
  <c r="AM221" i="1"/>
  <c r="AH226" i="1"/>
  <c r="AH227" i="1"/>
  <c r="AH228" i="1"/>
  <c r="AH229" i="1"/>
  <c r="AH230" i="1"/>
  <c r="AH231" i="1"/>
  <c r="AH232" i="1"/>
  <c r="AH233" i="1"/>
  <c r="AH225" i="1"/>
  <c r="AG226" i="1"/>
  <c r="AG227" i="1"/>
  <c r="AG228" i="1"/>
  <c r="AG229" i="1"/>
  <c r="AG230" i="1"/>
  <c r="AG231" i="1"/>
  <c r="AG232" i="1"/>
  <c r="AG233" i="1"/>
  <c r="AG225" i="1"/>
  <c r="AF226" i="1"/>
  <c r="AF227" i="1"/>
  <c r="AF228" i="1"/>
  <c r="AF229" i="1"/>
  <c r="AF230" i="1"/>
  <c r="AF231" i="1"/>
  <c r="AF232" i="1"/>
  <c r="AF233" i="1"/>
  <c r="AF225" i="1"/>
  <c r="AE226" i="1"/>
  <c r="AE227" i="1"/>
  <c r="AE228" i="1"/>
  <c r="AE229" i="1"/>
  <c r="AE230" i="1"/>
  <c r="AE231" i="1"/>
  <c r="AE232" i="1"/>
  <c r="AE233" i="1"/>
  <c r="AE225" i="1"/>
  <c r="AD226" i="1"/>
  <c r="AD227" i="1"/>
  <c r="AD228" i="1"/>
  <c r="AD229" i="1"/>
  <c r="AD230" i="1"/>
  <c r="AD231" i="1"/>
  <c r="AD232" i="1"/>
  <c r="AD233" i="1"/>
  <c r="AD225" i="1"/>
  <c r="AC226" i="1"/>
  <c r="AC227" i="1"/>
  <c r="AC228" i="1"/>
  <c r="AC229" i="1"/>
  <c r="AC230" i="1"/>
  <c r="AC231" i="1"/>
  <c r="AC232" i="1"/>
  <c r="AC233" i="1"/>
  <c r="AC225" i="1"/>
  <c r="AC224" i="1"/>
  <c r="AD224" i="1"/>
  <c r="AE224" i="1"/>
  <c r="AR224" i="1"/>
  <c r="AG224" i="1"/>
  <c r="AF224" i="1"/>
  <c r="AH224" i="1"/>
  <c r="AC223" i="1"/>
  <c r="AD223" i="1" s="1"/>
  <c r="AE223" i="1"/>
  <c r="AR223" i="1"/>
  <c r="AG223" i="1"/>
  <c r="AF223" i="1"/>
  <c r="AH223" i="1"/>
  <c r="AC222" i="1"/>
  <c r="AD222" i="1"/>
  <c r="AE222" i="1"/>
  <c r="AR222" i="1"/>
  <c r="AG222" i="1"/>
  <c r="AF222" i="1"/>
  <c r="AH222" i="1"/>
  <c r="AM218" i="1"/>
  <c r="AM219" i="1"/>
  <c r="AM220" i="1"/>
  <c r="AM217" i="1"/>
  <c r="AC221" i="1"/>
  <c r="AD221" i="1" s="1"/>
  <c r="AE221" i="1"/>
  <c r="AR221" i="1"/>
  <c r="AG221" i="1"/>
  <c r="AF221" i="1"/>
  <c r="AH221" i="1"/>
  <c r="AC220" i="1"/>
  <c r="AD220" i="1" s="1"/>
  <c r="AR220" i="1"/>
  <c r="AG220" i="1"/>
  <c r="AF220" i="1"/>
  <c r="AH220" i="1"/>
  <c r="AC219" i="1"/>
  <c r="AD219" i="1" s="1"/>
  <c r="AE219" i="1"/>
  <c r="AR219" i="1"/>
  <c r="AG219" i="1"/>
  <c r="AF219" i="1"/>
  <c r="AH219" i="1"/>
  <c r="AC218" i="1"/>
  <c r="AD218" i="1" s="1"/>
  <c r="AR218" i="1"/>
  <c r="AG218" i="1"/>
  <c r="AF218" i="1"/>
  <c r="AH218" i="1"/>
  <c r="AM214" i="1"/>
  <c r="AM215" i="1"/>
  <c r="AM216" i="1"/>
  <c r="AC217" i="1"/>
  <c r="AD217" i="1"/>
  <c r="AE217" i="1"/>
  <c r="AR217" i="1"/>
  <c r="AG217" i="1"/>
  <c r="AF217" i="1"/>
  <c r="AH217" i="1"/>
  <c r="AC216" i="1"/>
  <c r="AD216" i="1"/>
  <c r="AE216" i="1"/>
  <c r="AR216" i="1"/>
  <c r="AG216" i="1"/>
  <c r="AF216" i="1"/>
  <c r="AH216" i="1"/>
  <c r="AC215" i="1"/>
  <c r="AD215" i="1"/>
  <c r="AE215" i="1"/>
  <c r="AR215" i="1"/>
  <c r="AG215" i="1"/>
  <c r="AF215" i="1"/>
  <c r="AH215" i="1"/>
  <c r="AC214" i="1"/>
  <c r="AD214" i="1"/>
  <c r="AE214" i="1"/>
  <c r="AR214" i="1"/>
  <c r="AG214" i="1"/>
  <c r="AF214" i="1"/>
  <c r="AH214" i="1"/>
  <c r="AM210" i="1"/>
  <c r="AM211" i="1"/>
  <c r="AM212" i="1"/>
  <c r="AM213" i="1"/>
  <c r="AM209" i="1"/>
  <c r="AC213" i="1"/>
  <c r="AD213" i="1" s="1"/>
  <c r="AE213" i="1"/>
  <c r="AR213" i="1"/>
  <c r="AG213" i="1"/>
  <c r="AF213" i="1"/>
  <c r="AH213" i="1"/>
  <c r="AC212" i="1"/>
  <c r="AD212" i="1"/>
  <c r="AE212" i="1"/>
  <c r="AR212" i="1"/>
  <c r="AG212" i="1"/>
  <c r="AF212" i="1"/>
  <c r="AH212" i="1"/>
  <c r="AC211" i="1"/>
  <c r="AD211" i="1"/>
  <c r="AE211" i="1"/>
  <c r="AR211" i="1"/>
  <c r="AF211" i="1"/>
  <c r="AH211" i="1"/>
  <c r="AG211" i="1"/>
  <c r="AC210" i="1"/>
  <c r="AD210" i="1"/>
  <c r="AE210" i="1"/>
  <c r="AR210" i="1"/>
  <c r="AG210" i="1"/>
  <c r="AF210" i="1"/>
  <c r="AH210" i="1"/>
  <c r="AM203" i="1"/>
  <c r="AM204" i="1"/>
  <c r="AM205" i="1"/>
  <c r="AM206" i="1"/>
  <c r="AM207" i="1"/>
  <c r="AM208" i="1"/>
  <c r="AM202" i="1"/>
  <c r="AC209" i="1"/>
  <c r="AD209" i="1" s="1"/>
  <c r="AR209" i="1"/>
  <c r="AG209" i="1"/>
  <c r="AF209" i="1"/>
  <c r="AH209" i="1"/>
  <c r="AC208" i="1"/>
  <c r="AD208" i="1" s="1"/>
  <c r="AR208" i="1"/>
  <c r="AG208" i="1"/>
  <c r="AF208" i="1"/>
  <c r="AH208" i="1"/>
  <c r="AC207" i="1"/>
  <c r="AD207" i="1"/>
  <c r="AE207" i="1"/>
  <c r="AR207" i="1"/>
  <c r="AG207" i="1"/>
  <c r="AF207" i="1"/>
  <c r="AH207" i="1"/>
  <c r="AC206" i="1"/>
  <c r="AD206" i="1"/>
  <c r="AE206" i="1"/>
  <c r="AR206" i="1"/>
  <c r="AG206" i="1"/>
  <c r="AF206" i="1"/>
  <c r="AH206" i="1"/>
  <c r="AC205" i="1"/>
  <c r="AD205" i="1"/>
  <c r="AE205" i="1"/>
  <c r="AR205" i="1"/>
  <c r="AG205" i="1"/>
  <c r="AF205" i="1"/>
  <c r="AH205" i="1"/>
  <c r="AC204" i="1"/>
  <c r="AD204" i="1" s="1"/>
  <c r="AE204" i="1"/>
  <c r="AR204" i="1"/>
  <c r="AG204" i="1"/>
  <c r="AF204" i="1"/>
  <c r="AH204" i="1"/>
  <c r="AC203" i="1"/>
  <c r="AD203" i="1"/>
  <c r="AE203" i="1"/>
  <c r="AR203" i="1"/>
  <c r="AG203" i="1"/>
  <c r="AF203" i="1"/>
  <c r="AH203" i="1"/>
  <c r="AC202" i="1"/>
  <c r="AD202" i="1"/>
  <c r="AE202" i="1"/>
  <c r="AR202" i="1"/>
  <c r="AG202" i="1"/>
  <c r="AF202" i="1"/>
  <c r="AH202" i="1"/>
  <c r="AC201" i="1"/>
  <c r="AD201" i="1"/>
  <c r="AE201" i="1"/>
  <c r="AR201" i="1"/>
  <c r="AG201" i="1"/>
  <c r="AF201" i="1"/>
  <c r="AH201" i="1"/>
  <c r="AC200" i="1"/>
  <c r="AD200" i="1"/>
  <c r="AE200" i="1"/>
  <c r="AR200" i="1"/>
  <c r="AG200" i="1"/>
  <c r="AF200" i="1"/>
  <c r="AH200" i="1"/>
  <c r="AC199" i="1"/>
  <c r="AD199" i="1" s="1"/>
  <c r="AE199" i="1"/>
  <c r="AR199" i="1"/>
  <c r="AG199" i="1"/>
  <c r="AF199" i="1"/>
  <c r="AH199" i="1"/>
  <c r="AC198" i="1"/>
  <c r="AD198" i="1" s="1"/>
  <c r="AE198" i="1"/>
  <c r="AR198" i="1"/>
  <c r="AG198" i="1"/>
  <c r="AF198" i="1"/>
  <c r="AH198" i="1"/>
  <c r="AM201" i="1"/>
  <c r="AM200" i="1"/>
  <c r="AM199" i="1"/>
  <c r="AM198" i="1"/>
  <c r="AM197" i="1"/>
  <c r="AM196" i="1"/>
  <c r="AM190" i="1"/>
  <c r="AM191" i="1"/>
  <c r="AM192" i="1"/>
  <c r="AM193" i="1"/>
  <c r="AM194" i="1"/>
  <c r="AM195" i="1"/>
  <c r="AM189" i="1"/>
  <c r="AC197" i="1"/>
  <c r="AD197" i="1"/>
  <c r="AE197" i="1"/>
  <c r="AR197" i="1"/>
  <c r="AG197" i="1"/>
  <c r="AF197" i="1"/>
  <c r="AH197" i="1"/>
  <c r="AC196" i="1"/>
  <c r="AD196" i="1"/>
  <c r="AE196" i="1"/>
  <c r="AR196" i="1"/>
  <c r="AG196" i="1"/>
  <c r="AF196" i="1"/>
  <c r="AH196" i="1"/>
  <c r="AC195" i="1"/>
  <c r="AD195" i="1"/>
  <c r="AE195" i="1"/>
  <c r="AR195" i="1"/>
  <c r="AG195" i="1"/>
  <c r="AF195" i="1"/>
  <c r="AH195" i="1"/>
  <c r="AC194" i="1"/>
  <c r="AD194" i="1"/>
  <c r="AE194" i="1"/>
  <c r="AR194" i="1"/>
  <c r="AG194" i="1"/>
  <c r="AF194" i="1"/>
  <c r="AH194" i="1"/>
  <c r="K190" i="1"/>
  <c r="K191" i="1"/>
  <c r="K192" i="1"/>
  <c r="K189" i="1"/>
  <c r="AC193" i="1"/>
  <c r="AD193" i="1"/>
  <c r="AE193" i="1"/>
  <c r="AR193" i="1"/>
  <c r="AG193" i="1"/>
  <c r="AF193" i="1"/>
  <c r="AH193" i="1"/>
  <c r="AC192" i="1"/>
  <c r="AD192" i="1"/>
  <c r="AE192" i="1"/>
  <c r="AR192" i="1"/>
  <c r="AG192" i="1"/>
  <c r="AF192" i="1"/>
  <c r="AH192" i="1"/>
  <c r="AC191" i="1"/>
  <c r="AD191" i="1"/>
  <c r="AE191" i="1"/>
  <c r="AR191" i="1"/>
  <c r="AG191" i="1"/>
  <c r="AF191" i="1"/>
  <c r="AH191" i="1"/>
  <c r="AC190" i="1"/>
  <c r="AD190" i="1"/>
  <c r="AE190" i="1"/>
  <c r="AR190" i="1"/>
  <c r="AG190" i="1"/>
  <c r="AF190" i="1"/>
  <c r="AH190" i="1"/>
  <c r="AM187" i="1"/>
  <c r="AM188" i="1"/>
  <c r="AM185" i="1"/>
  <c r="K184" i="1"/>
  <c r="K185" i="1"/>
  <c r="K186" i="1"/>
  <c r="K187" i="1"/>
  <c r="K188" i="1"/>
  <c r="K183" i="1"/>
  <c r="AC189" i="1"/>
  <c r="AD189" i="1"/>
  <c r="AE189" i="1"/>
  <c r="AR189" i="1"/>
  <c r="AG189" i="1"/>
  <c r="AF189" i="1"/>
  <c r="AH189" i="1"/>
  <c r="AC188" i="1"/>
  <c r="AD188" i="1"/>
  <c r="AE188" i="1"/>
  <c r="AR188" i="1"/>
  <c r="AG188" i="1"/>
  <c r="AF188" i="1"/>
  <c r="AH188" i="1"/>
  <c r="AC187" i="1"/>
  <c r="AD187" i="1"/>
  <c r="AE187" i="1"/>
  <c r="AR187" i="1"/>
  <c r="AG187" i="1"/>
  <c r="AF187" i="1"/>
  <c r="AH187" i="1"/>
  <c r="AC186" i="1"/>
  <c r="AD186" i="1"/>
  <c r="AE186" i="1"/>
  <c r="AR186" i="1"/>
  <c r="AG186" i="1"/>
  <c r="AF186" i="1"/>
  <c r="AH186" i="1"/>
  <c r="AM186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2" i="1"/>
  <c r="AM184" i="1"/>
  <c r="AM183" i="1"/>
  <c r="AC185" i="1"/>
  <c r="AE185" i="1"/>
  <c r="AR185" i="1"/>
  <c r="AG185" i="1"/>
  <c r="AF185" i="1"/>
  <c r="AH185" i="1"/>
  <c r="AC184" i="1"/>
  <c r="AE184" i="1"/>
  <c r="AR184" i="1"/>
  <c r="AG184" i="1"/>
  <c r="AF184" i="1"/>
  <c r="AH184" i="1"/>
  <c r="AC183" i="1"/>
  <c r="AE183" i="1"/>
  <c r="AR183" i="1"/>
  <c r="AG183" i="1"/>
  <c r="AF183" i="1"/>
  <c r="AH183" i="1"/>
  <c r="AC182" i="1"/>
  <c r="AE182" i="1"/>
  <c r="AR182" i="1"/>
  <c r="AG182" i="1"/>
  <c r="AF182" i="1"/>
  <c r="AH182" i="1"/>
  <c r="K182" i="1"/>
  <c r="AM182" i="1"/>
  <c r="AR47" i="1"/>
  <c r="AR48" i="1"/>
  <c r="AR49" i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6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2" i="1"/>
  <c r="AC180" i="1"/>
  <c r="AC181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2" i="1"/>
  <c r="AG161" i="1"/>
  <c r="AH161" i="1"/>
  <c r="AG160" i="1"/>
  <c r="AH160" i="1"/>
  <c r="AG159" i="1"/>
  <c r="AH159" i="1"/>
  <c r="AG158" i="1"/>
  <c r="AH158" i="1"/>
  <c r="AG157" i="1"/>
  <c r="AH157" i="1"/>
  <c r="AG156" i="1"/>
  <c r="AH156" i="1"/>
  <c r="AG155" i="1"/>
  <c r="AH155" i="1"/>
  <c r="AG154" i="1"/>
  <c r="AH154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2" i="1"/>
  <c r="M113" i="1"/>
  <c r="M112" i="1"/>
  <c r="AE273" i="1" l="1"/>
  <c r="AE253" i="1"/>
  <c r="AE248" i="1"/>
  <c r="AE246" i="1"/>
  <c r="AE245" i="1"/>
  <c r="AE244" i="1"/>
  <c r="AE243" i="1"/>
  <c r="AE240" i="1"/>
  <c r="AE220" i="1"/>
  <c r="AE218" i="1"/>
  <c r="AE209" i="1"/>
  <c r="AE208" i="1"/>
</calcChain>
</file>

<file path=xl/sharedStrings.xml><?xml version="1.0" encoding="utf-8"?>
<sst xmlns="http://schemas.openxmlformats.org/spreadsheetml/2006/main" count="6597" uniqueCount="1508">
  <si>
    <t>Name</t>
  </si>
  <si>
    <t>LinkedIn URL</t>
  </si>
  <si>
    <t>Company Size</t>
  </si>
  <si>
    <t>Followers</t>
  </si>
  <si>
    <t>Posting Language</t>
  </si>
  <si>
    <t>Target Audience</t>
  </si>
  <si>
    <t>Post ID</t>
  </si>
  <si>
    <t>Post URL</t>
  </si>
  <si>
    <t>Post Date</t>
  </si>
  <si>
    <t>Post Date Type</t>
  </si>
  <si>
    <t>Post Type</t>
  </si>
  <si>
    <t>Post Category</t>
  </si>
  <si>
    <t>Media Type</t>
  </si>
  <si>
    <t>Media Count</t>
  </si>
  <si>
    <t>Storytelling Used</t>
  </si>
  <si>
    <t>Hook Type</t>
  </si>
  <si>
    <t>Hook Length (Words)</t>
  </si>
  <si>
    <t>Copy Length Category</t>
  </si>
  <si>
    <t>CTA Used</t>
  </si>
  <si>
    <t>CTA Type</t>
  </si>
  <si>
    <t>CTA Position</t>
  </si>
  <si>
    <t>CTA Strength</t>
  </si>
  <si>
    <t>CTA Objective</t>
  </si>
  <si>
    <t>Questions Asked in Caption</t>
  </si>
  <si>
    <t>Likes</t>
  </si>
  <si>
    <t>Comments</t>
  </si>
  <si>
    <t>Reposts</t>
  </si>
  <si>
    <t>Total Engagement</t>
  </si>
  <si>
    <t>Engagement Rate (%)</t>
  </si>
  <si>
    <t>Engagement per 1K Followers</t>
  </si>
  <si>
    <t>Comment Rate (%)</t>
  </si>
  <si>
    <t>Repost Rate (%)</t>
  </si>
  <si>
    <t>Comment-to-Like Ratio</t>
  </si>
  <si>
    <t>Use of Emojis</t>
  </si>
  <si>
    <t>Brand Mentions</t>
  </si>
  <si>
    <t>Content Angle</t>
  </si>
  <si>
    <t>Emotional Trigger</t>
  </si>
  <si>
    <t>Posting Day</t>
  </si>
  <si>
    <t>Consistency</t>
  </si>
  <si>
    <t>Performance Score (1–5)</t>
  </si>
  <si>
    <t>Funmi Fatona-Ayowole</t>
  </si>
  <si>
    <t>https://www.linkedin.com/in/funmifatonaayowole/</t>
  </si>
  <si>
    <t>English</t>
  </si>
  <si>
    <t>HR Leaders</t>
  </si>
  <si>
    <t>Organizational Leaders</t>
  </si>
  <si>
    <t>Corporate Teams</t>
  </si>
  <si>
    <t>Employees (B2B)</t>
  </si>
  <si>
    <t>View Post</t>
  </si>
  <si>
    <t>Estimated</t>
  </si>
  <si>
    <t>Post Age(Days)</t>
  </si>
  <si>
    <t>Event Promotion</t>
  </si>
  <si>
    <t>Community Engagement</t>
  </si>
  <si>
    <t>Educational</t>
  </si>
  <si>
    <t>Inspirational</t>
  </si>
  <si>
    <t>Event Recap</t>
  </si>
  <si>
    <t>Thought Leadership</t>
  </si>
  <si>
    <t>Personal Development</t>
  </si>
  <si>
    <t>Video</t>
  </si>
  <si>
    <t>Image</t>
  </si>
  <si>
    <t>Yes</t>
  </si>
  <si>
    <t>Story Opening / Curiosity</t>
  </si>
  <si>
    <t>Medium</t>
  </si>
  <si>
    <t>NO</t>
  </si>
  <si>
    <t>YES</t>
  </si>
  <si>
    <t>Register/ Event Signup</t>
  </si>
  <si>
    <t>Follow/Engagement/Stay Updated</t>
  </si>
  <si>
    <t>None</t>
  </si>
  <si>
    <t>Engagement/Comment</t>
  </si>
  <si>
    <t>End</t>
  </si>
  <si>
    <t>Hard</t>
  </si>
  <si>
    <t>Promotional (Event)</t>
  </si>
  <si>
    <t>Inspiration</t>
  </si>
  <si>
    <t>Best Performing Format</t>
  </si>
  <si>
    <t>Worst Performing Format</t>
  </si>
  <si>
    <t>Informative + Curiosity</t>
  </si>
  <si>
    <t>Long</t>
  </si>
  <si>
    <t>Moderate</t>
  </si>
  <si>
    <t>Audience Growth / Engagement</t>
  </si>
  <si>
    <t>Engagement</t>
  </si>
  <si>
    <t>Educational &amp; Awareness</t>
  </si>
  <si>
    <t>Empathy</t>
  </si>
  <si>
    <t>Empowerment</t>
  </si>
  <si>
    <t>Promotion</t>
  </si>
  <si>
    <t>Shoaib Ahmed</t>
  </si>
  <si>
    <t>https://www.linkedin.com/in/shoaibahmed21/</t>
  </si>
  <si>
    <t>Founders</t>
  </si>
  <si>
    <t>Coaches</t>
  </si>
  <si>
    <t>Buisness Professionals</t>
  </si>
  <si>
    <t>Content Creators</t>
  </si>
  <si>
    <t>Accurate</t>
  </si>
  <si>
    <t>Thought Ledership</t>
  </si>
  <si>
    <t>Buisness Growth</t>
  </si>
  <si>
    <t>Linkdein Marketing</t>
  </si>
  <si>
    <t>Instructional / Educational</t>
  </si>
  <si>
    <t>Reflective / Thought-Provoking</t>
  </si>
  <si>
    <t>Conversational / Relatable</t>
  </si>
  <si>
    <t>Engagement and Credibility</t>
  </si>
  <si>
    <t>Engagement and Trust</t>
  </si>
  <si>
    <t>Observational</t>
  </si>
  <si>
    <t>Short</t>
  </si>
  <si>
    <t>Engagement and Awareness</t>
  </si>
  <si>
    <t>Problem-Solution / Direct</t>
  </si>
  <si>
    <t>Free Resource CTA</t>
  </si>
  <si>
    <t>Engagement/Social Proof CTA</t>
  </si>
  <si>
    <t>Lead Management/Conversion CTA</t>
  </si>
  <si>
    <t>Confidence</t>
  </si>
  <si>
    <t>Awareness</t>
  </si>
  <si>
    <t>Replies To Comments</t>
  </si>
  <si>
    <t>Jitender Girdhar</t>
  </si>
  <si>
    <t>https://www.linkedin.com/in/jgirdhar/</t>
  </si>
  <si>
    <t>Leadership Mindset</t>
  </si>
  <si>
    <t>Career Development</t>
  </si>
  <si>
    <t>Workplace Wellbeing</t>
  </si>
  <si>
    <t>Community Growth CTA</t>
  </si>
  <si>
    <t>Reflective / Contrarian</t>
  </si>
  <si>
    <t xml:space="preserve">Engagement </t>
  </si>
  <si>
    <t>Action before readiness</t>
  </si>
  <si>
    <t>Validation, Empowerment</t>
  </si>
  <si>
    <t>Contrarian / Disruptive</t>
  </si>
  <si>
    <t>Engagement, Reach, Followers</t>
  </si>
  <si>
    <t>Adaptability over loyalty</t>
  </si>
  <si>
    <t>Clarity, Empowerment</t>
  </si>
  <si>
    <t>Contrarian / Pattern-Breaking</t>
  </si>
  <si>
    <t>People-first culture over perks</t>
  </si>
  <si>
    <t>Validation, Clarity</t>
  </si>
  <si>
    <t>Problem-Focused / Fear-Based</t>
  </si>
  <si>
    <t>Self-advocacy despite poor leadership</t>
  </si>
  <si>
    <t>Recognition, Validation</t>
  </si>
  <si>
    <t>Victoria Repa</t>
  </si>
  <si>
    <t>https://www.linkedin.com/in/victoria-repa-115a1987/</t>
  </si>
  <si>
    <t>Individual Users</t>
  </si>
  <si>
    <t>Organizational Clients</t>
  </si>
  <si>
    <t>Brand Awareness</t>
  </si>
  <si>
    <t>Wellness Activation</t>
  </si>
  <si>
    <t>Workplace Culture</t>
  </si>
  <si>
    <t>Engagement + Growth CTA</t>
  </si>
  <si>
    <t>Comments, Shares, Followers</t>
  </si>
  <si>
    <t>Shock, Recognition</t>
  </si>
  <si>
    <t>Language ,Trust ,Culture</t>
  </si>
  <si>
    <t xml:space="preserve">Experience-based / Curiosity </t>
  </si>
  <si>
    <t>Brand-forward</t>
  </si>
  <si>
    <t>END</t>
  </si>
  <si>
    <t>Soft</t>
  </si>
  <si>
    <t>Wellness ,Community , Lifestyle</t>
  </si>
  <si>
    <t>Contrarian</t>
  </si>
  <si>
    <t>Share + Follow CTA</t>
  </si>
  <si>
    <t>Personal brand growth</t>
  </si>
  <si>
    <t>leadership ,Authenticity</t>
  </si>
  <si>
    <t>Inspiration, Trust</t>
  </si>
  <si>
    <t>Curosity</t>
  </si>
  <si>
    <t>Reach amplification</t>
  </si>
  <si>
    <t>Self-improvement</t>
  </si>
  <si>
    <t>Maya Raichoora</t>
  </si>
  <si>
    <t>https://www.linkedin.com/in/maya-raichoora/</t>
  </si>
  <si>
    <t>Professional Athlete</t>
  </si>
  <si>
    <t>Wellness Audience</t>
  </si>
  <si>
    <t>Nial Cleaver</t>
  </si>
  <si>
    <t>https://www.linkedin.com/in/niallcleaver/</t>
  </si>
  <si>
    <t>Young Professionals</t>
  </si>
  <si>
    <t>Gen Z &amp; Millennials</t>
  </si>
  <si>
    <t>Sustainability-Conscious Consumers</t>
  </si>
  <si>
    <t>Gift Buyers</t>
  </si>
  <si>
    <t>Personal Update</t>
  </si>
  <si>
    <t>Business Lesson</t>
  </si>
  <si>
    <t>Mindset</t>
  </si>
  <si>
    <t>Mental Fitness</t>
  </si>
  <si>
    <t>Personal Growth</t>
  </si>
  <si>
    <t>Life Update</t>
  </si>
  <si>
    <t>Branding Strategy</t>
  </si>
  <si>
    <t>Engagement/Reach Expansion</t>
  </si>
  <si>
    <t>Engagement/Video Views</t>
  </si>
  <si>
    <t>No</t>
  </si>
  <si>
    <t>Transformation</t>
  </si>
  <si>
    <t>NA</t>
  </si>
  <si>
    <t>Mindset transformation</t>
  </si>
  <si>
    <t>Self-empowerment</t>
  </si>
  <si>
    <t xml:space="preserve">Video </t>
  </si>
  <si>
    <t>Shock /Authority</t>
  </si>
  <si>
    <t>Authority /Curiosity</t>
  </si>
  <si>
    <t>Middle &amp; End</t>
  </si>
  <si>
    <t>Increase watch time</t>
  </si>
  <si>
    <t>Brain rewiring</t>
  </si>
  <si>
    <t>Contrarian / Emotional</t>
  </si>
  <si>
    <t>Age Defiance</t>
  </si>
  <si>
    <t>Thought-provoking</t>
  </si>
  <si>
    <t>Release &amp; Grow</t>
  </si>
  <si>
    <t>Releas, Hope</t>
  </si>
  <si>
    <t xml:space="preserve">Image </t>
  </si>
  <si>
    <t>Curiosity</t>
  </si>
  <si>
    <t>Intentional reflection</t>
  </si>
  <si>
    <t>Self-awareness</t>
  </si>
  <si>
    <t>Growth through discomfort</t>
  </si>
  <si>
    <t>Motivation</t>
  </si>
  <si>
    <t>Emotional</t>
  </si>
  <si>
    <t>Implicit action-based CTA</t>
  </si>
  <si>
    <t>Self-trust</t>
  </si>
  <si>
    <t>Decisive Action</t>
  </si>
  <si>
    <t xml:space="preserve"> Clarity, Self-belief</t>
  </si>
  <si>
    <t>Confession</t>
  </si>
  <si>
    <t>Brand positioning</t>
  </si>
  <si>
    <t>Brand-first thinking</t>
  </si>
  <si>
    <t>Realization, Credibility</t>
  </si>
  <si>
    <t>Buisness Lesson</t>
  </si>
  <si>
    <t>Cy Bruni</t>
  </si>
  <si>
    <t>Mridula Patnaik</t>
  </si>
  <si>
    <t>Oenella SAN</t>
  </si>
  <si>
    <t>Siliva Young</t>
  </si>
  <si>
    <t>https://www.linkedin.com/in/cybruni/</t>
  </si>
  <si>
    <t>Click-through</t>
  </si>
  <si>
    <t>Career opportunity</t>
  </si>
  <si>
    <t>https://www.linkedin.com/in/mridulapat/</t>
  </si>
  <si>
    <t>https://www.linkedin.com/in/ornella-san/</t>
  </si>
  <si>
    <t>https://www.linkedin.com/in/silvia-young-dobbertin-3a603817/</t>
  </si>
  <si>
    <t xml:space="preserve">	Quiana Brown</t>
  </si>
  <si>
    <t xml:space="preserve">Shafer (Stedronova) Stedron </t>
  </si>
  <si>
    <t>Artee Vedula</t>
  </si>
  <si>
    <t>https://www.linkedin.com/in/quiana-brown-layol/</t>
  </si>
  <si>
    <t>https://www.linkedin.com/in/shafer-stedron-4b7a19263/</t>
  </si>
  <si>
    <t>https://www.linkedin.com/in/arteevedula/</t>
  </si>
  <si>
    <t>High-achieving women</t>
  </si>
  <si>
    <t>Burnt-out leaders</t>
  </si>
  <si>
    <t>Professional women</t>
  </si>
  <si>
    <t>Female leaders</t>
  </si>
  <si>
    <t>AI, Creativity</t>
  </si>
  <si>
    <t>Implicit CTA</t>
  </si>
  <si>
    <t>Spark thought, Reflection</t>
  </si>
  <si>
    <t>Innovation and Preservation</t>
  </si>
  <si>
    <t>Community Reflection</t>
  </si>
  <si>
    <t>Community Building</t>
  </si>
  <si>
    <t>Strengthen community connection</t>
  </si>
  <si>
    <t>Quiet leadership</t>
  </si>
  <si>
    <t>Gratitude</t>
  </si>
  <si>
    <t>Emotional / Relatability</t>
  </si>
  <si>
    <t>Encourage self-reflection</t>
  </si>
  <si>
    <t>Redefining strength as presence</t>
  </si>
  <si>
    <t>Validation</t>
  </si>
  <si>
    <t>Women’s Leadership</t>
  </si>
  <si>
    <t>Reflective + Emotional</t>
  </si>
  <si>
    <t>Community-driven</t>
  </si>
  <si>
    <t>Encourage sharing and tagging</t>
  </si>
  <si>
    <t>Moving forward</t>
  </si>
  <si>
    <t>Release,Hope</t>
  </si>
  <si>
    <t>Womens Leadership</t>
  </si>
  <si>
    <t>Inspirational Post</t>
  </si>
  <si>
    <t>Mindfulness</t>
  </si>
  <si>
    <t xml:space="preserve">Brands </t>
  </si>
  <si>
    <t>Companies</t>
  </si>
  <si>
    <t xml:space="preserve">CMOs </t>
  </si>
  <si>
    <t>Hiring</t>
  </si>
  <si>
    <t>Careers</t>
  </si>
  <si>
    <t>Opportunity</t>
  </si>
  <si>
    <t>Direct / Action-oriented</t>
  </si>
  <si>
    <t>Attract qualified candidates</t>
  </si>
  <si>
    <t>Brand Leadership</t>
  </si>
  <si>
    <t>Achievement</t>
  </si>
  <si>
    <t>Invitation-based</t>
  </si>
  <si>
    <t>Drive interest and attendance</t>
  </si>
  <si>
    <t>Successful event execution</t>
  </si>
  <si>
    <t>Pride</t>
  </si>
  <si>
    <t>Partnership Announcement</t>
  </si>
  <si>
    <t>Partnerships</t>
  </si>
  <si>
    <t>Highlight client success</t>
  </si>
  <si>
    <t>Pride in client success</t>
  </si>
  <si>
    <t>Product Launch</t>
  </si>
  <si>
    <t>Brand Collaboration</t>
  </si>
  <si>
    <t>Excitement</t>
  </si>
  <si>
    <t>Conversion-focused</t>
  </si>
  <si>
    <t>Drive product sales</t>
  </si>
  <si>
    <t>Brand collaboration</t>
  </si>
  <si>
    <t xml:space="preserve">Product Launch </t>
  </si>
  <si>
    <t>Partnership Anouncement</t>
  </si>
  <si>
    <t>Product Spotlight</t>
  </si>
  <si>
    <t>Automotive Innovation</t>
  </si>
  <si>
    <t>Engagement CTA</t>
  </si>
  <si>
    <t>Grow followers</t>
  </si>
  <si>
    <t>AI-powered luxury</t>
  </si>
  <si>
    <t>Motivational</t>
  </si>
  <si>
    <t>Personal growth</t>
  </si>
  <si>
    <t>Buisiness Leaders</t>
  </si>
  <si>
    <t>Decision-makers</t>
  </si>
  <si>
    <t>Finance executives</t>
  </si>
  <si>
    <t>Encourage persistence</t>
  </si>
  <si>
    <t>Success as persistence</t>
  </si>
  <si>
    <t>Leaders</t>
  </si>
  <si>
    <t>Managers</t>
  </si>
  <si>
    <t>Professionals</t>
  </si>
  <si>
    <t>Leadership</t>
  </si>
  <si>
    <t>Warning</t>
  </si>
  <si>
    <t>Suggestive / Informative</t>
  </si>
  <si>
    <t xml:space="preserve">Middle </t>
  </si>
  <si>
    <t>Women</t>
  </si>
  <si>
    <t>Creatives</t>
  </si>
  <si>
    <t>Mindset/Self-Awareness</t>
  </si>
  <si>
    <t>Insight-based</t>
  </si>
  <si>
    <t>Self-inquiry CTA</t>
  </si>
  <si>
    <t>Gentle self-leadership</t>
  </si>
  <si>
    <t>Protect peace</t>
  </si>
  <si>
    <t>Self-Love / Emotional Healing</t>
  </si>
  <si>
    <t>Empathy-based</t>
  </si>
  <si>
    <t>Emotional + Reflective CTA</t>
  </si>
  <si>
    <t>Self-compassion</t>
  </si>
  <si>
    <t>Loving oneself without arrogance</t>
  </si>
  <si>
    <t>Validation /Relief</t>
  </si>
  <si>
    <t>Mindset Growth</t>
  </si>
  <si>
    <t>Empowerment hook</t>
  </si>
  <si>
    <t>Reflective + Action-oriented CTA</t>
  </si>
  <si>
    <t>Gentle momentum</t>
  </si>
  <si>
    <t>Mindset Coaching</t>
  </si>
  <si>
    <t>Gentle action-based</t>
  </si>
  <si>
    <t>Self-respect</t>
  </si>
  <si>
    <t>Courage in subtle choices</t>
  </si>
  <si>
    <t>Hope /Relief / Self-trust</t>
  </si>
  <si>
    <t>Boundaries ≠ coldness</t>
  </si>
  <si>
    <t>Releases guilt</t>
  </si>
  <si>
    <t>Professional Announcement</t>
  </si>
  <si>
    <t>Career Transition</t>
  </si>
  <si>
    <t>Milestone</t>
  </si>
  <si>
    <t>Invitation-based CTA</t>
  </si>
  <si>
    <t>Credibility</t>
  </si>
  <si>
    <t>Global exposure</t>
  </si>
  <si>
    <t>Learning Achievement</t>
  </si>
  <si>
    <t>Professional Development</t>
  </si>
  <si>
    <t>Resource-sharing CTA</t>
  </si>
  <si>
    <t>Knowledge sharing</t>
  </si>
  <si>
    <t>Signals growth mindset</t>
  </si>
  <si>
    <t>Professional Respect</t>
  </si>
  <si>
    <t>Authority-backed</t>
  </si>
  <si>
    <t>Trust over title</t>
  </si>
  <si>
    <t>Validation /Aspiration</t>
  </si>
  <si>
    <t>Creators</t>
  </si>
  <si>
    <t>Families</t>
  </si>
  <si>
    <t>Emotional Intelligence</t>
  </si>
  <si>
    <t>Provocative question</t>
  </si>
  <si>
    <t>Content sharing</t>
  </si>
  <si>
    <t>Parenting as self-work</t>
  </si>
  <si>
    <t>Community Appreciation</t>
  </si>
  <si>
    <t>Hope-based hook</t>
  </si>
  <si>
    <t>Community participation</t>
  </si>
  <si>
    <t>Conversations as healing</t>
  </si>
  <si>
    <t>Belonging / Gratitude</t>
  </si>
  <si>
    <t>Curiosity-driven</t>
  </si>
  <si>
    <t>Educational/Resource CTA</t>
  </si>
  <si>
    <t>Podcast listens</t>
  </si>
  <si>
    <t>Behavior as communication</t>
  </si>
  <si>
    <t>Relief /Validation / Hope</t>
  </si>
  <si>
    <t>Content Amplification</t>
  </si>
  <si>
    <t>Social Awareness</t>
  </si>
  <si>
    <t>Empathy-driven</t>
  </si>
  <si>
    <t>Emotional processing</t>
  </si>
  <si>
    <t>Choosing humanity over fear</t>
  </si>
  <si>
    <t>Grief  /Compassion/ Hope</t>
  </si>
  <si>
    <t>Disconnected couples</t>
  </si>
  <si>
    <t>Solo-effort partners</t>
  </si>
  <si>
    <t>Couples in conflict</t>
  </si>
  <si>
    <t>Growth focused couples</t>
  </si>
  <si>
    <t>Philosophica</t>
  </si>
  <si>
    <t>Encourage self-awareness</t>
  </si>
  <si>
    <t>Emotional mastery</t>
  </si>
  <si>
    <t>Direct engagement</t>
  </si>
  <si>
    <t>Self-Discovery</t>
  </si>
  <si>
    <t>Philosophical</t>
  </si>
  <si>
    <t>Provocative</t>
  </si>
  <si>
    <t>Drive engagement</t>
  </si>
  <si>
    <t>Self-love, assertiveness</t>
  </si>
  <si>
    <t>https://www.linkedin.com/in/randybelham/</t>
  </si>
  <si>
    <t>Entrepreneurs</t>
  </si>
  <si>
    <t>Aspiring Futurpreneurs</t>
  </si>
  <si>
    <t>early-stage entrepreneurs</t>
  </si>
  <si>
    <t>startup founders</t>
  </si>
  <si>
    <t>Personal Achievement</t>
  </si>
  <si>
    <t>Life Coaching</t>
  </si>
  <si>
    <t>Achievement hook</t>
  </si>
  <si>
    <t>Strengthen personal brand</t>
  </si>
  <si>
    <t>Recognition and credibility</t>
  </si>
  <si>
    <t>Pride/Inspiration /Gratitude</t>
  </si>
  <si>
    <t>Empathy / Urgency /Reflection</t>
  </si>
  <si>
    <t>Success ≠ well-being</t>
  </si>
  <si>
    <t>Promote life coaching</t>
  </si>
  <si>
    <t>Direct action CTA</t>
  </si>
  <si>
    <t>Curiosity + Relatable insight</t>
  </si>
  <si>
    <t>Personal Connection hook</t>
  </si>
  <si>
    <t>Encourage community engagement</t>
  </si>
  <si>
    <t>Networking reflection</t>
  </si>
  <si>
    <t>Gratitude /Nostalgia</t>
  </si>
  <si>
    <t>Social Engagement</t>
  </si>
  <si>
    <t>Networking</t>
  </si>
  <si>
    <t>Promotional</t>
  </si>
  <si>
    <t>Productivity</t>
  </si>
  <si>
    <t>Relatable humor hook</t>
  </si>
  <si>
    <t>Instructional CTA</t>
  </si>
  <si>
    <t>Drive Sales</t>
  </si>
  <si>
    <t>Humor/ Relatability</t>
  </si>
  <si>
    <t>Maria Fernanda</t>
  </si>
  <si>
    <t>https://www.linkedin.com/in/maria-fernanda-rodr%C3%ADguez-mackay-76658a177/</t>
  </si>
  <si>
    <t>Moms &amp; Parents</t>
  </si>
  <si>
    <t>Personal Growth Seekers</t>
  </si>
  <si>
    <t>Latina / Expat Women</t>
  </si>
  <si>
    <t>Content Consumers</t>
  </si>
  <si>
    <t>Experience-based</t>
  </si>
  <si>
    <t>Community engagement</t>
  </si>
  <si>
    <t>Event Announcement</t>
  </si>
  <si>
    <t>Entrepreneurship</t>
  </si>
  <si>
    <t>Direct benefit</t>
  </si>
  <si>
    <t>Event Registration</t>
  </si>
  <si>
    <t>Event sign-ups</t>
  </si>
  <si>
    <t>Ambition, confidence</t>
  </si>
  <si>
    <t>Event awareness</t>
  </si>
  <si>
    <t>Celebration</t>
  </si>
  <si>
    <t>Edward Darling</t>
  </si>
  <si>
    <t>https://www.linkedin.com/in/edward-darling/</t>
  </si>
  <si>
    <t>Leaders &amp; Executives</t>
  </si>
  <si>
    <t>Emerging Speakers</t>
  </si>
  <si>
    <t>Viw Post</t>
  </si>
  <si>
    <t xml:space="preserve">Emotional Healing </t>
  </si>
  <si>
    <t>Personal achievement</t>
  </si>
  <si>
    <t>Awards</t>
  </si>
  <si>
    <t>Engagement-based</t>
  </si>
  <si>
    <t>Drive votes</t>
  </si>
  <si>
    <t>Community Pride</t>
  </si>
  <si>
    <t>Educational post</t>
  </si>
  <si>
    <t>Personal development</t>
  </si>
  <si>
    <t>Increase dwell time</t>
  </si>
  <si>
    <t>Skill advantage</t>
  </si>
  <si>
    <t>Personal reflection</t>
  </si>
  <si>
    <t>Leadership development</t>
  </si>
  <si>
    <t>Pride /Curiosity</t>
  </si>
  <si>
    <t>Implicit credibility CTA</t>
  </si>
  <si>
    <t>Build authority</t>
  </si>
  <si>
    <t>Client transformation</t>
  </si>
  <si>
    <t>Public speaking</t>
  </si>
  <si>
    <t>Increase comments</t>
  </si>
  <si>
    <t>Confidence building</t>
  </si>
  <si>
    <t>Anxiety relief</t>
  </si>
  <si>
    <t>Personal update</t>
  </si>
  <si>
    <t>Behind-the-scenes</t>
  </si>
  <si>
    <t>Personality hook</t>
  </si>
  <si>
    <t>Conversation CTA</t>
  </si>
  <si>
    <t>Relatability</t>
  </si>
  <si>
    <t>Approachability + credibility</t>
  </si>
  <si>
    <t>Bridget Walton</t>
  </si>
  <si>
    <t>https://www.linkedin.com/in/bridget-g-walton/</t>
  </si>
  <si>
    <t>Corporate Leaders</t>
  </si>
  <si>
    <t>Freshers</t>
  </si>
  <si>
    <t>Women’s health</t>
  </si>
  <si>
    <t>Question-based</t>
  </si>
  <si>
    <t> Event registration CTA</t>
  </si>
  <si>
    <t>Generate qualified leads</t>
  </si>
  <si>
    <t>Education-first selling</t>
  </si>
  <si>
    <t>Motivation styles</t>
  </si>
  <si>
    <t>Build trust</t>
  </si>
  <si>
    <t>Insight-based CTA</t>
  </si>
  <si>
    <t>Curiosity /Relatability</t>
  </si>
  <si>
    <t>Educational + Promotional</t>
  </si>
  <si>
    <t>Direct-address hook</t>
  </si>
  <si>
    <t>Lead-generation CTA</t>
  </si>
  <si>
    <t>Grow email list</t>
  </si>
  <si>
    <t>Workplace wellness</t>
  </si>
  <si>
    <t>Personal experience hook</t>
  </si>
  <si>
    <t>Educational / Behavioral CTA</t>
  </si>
  <si>
    <t>Encourage habit change</t>
  </si>
  <si>
    <t>Wellness</t>
  </si>
  <si>
    <t>Anthony Holloway</t>
  </si>
  <si>
    <t>Katy Poon</t>
  </si>
  <si>
    <t>https://www.linkedin.com/in/hollowayanthony/</t>
  </si>
  <si>
    <t>https://www.linkedin.com/in/katy24c/</t>
  </si>
  <si>
    <t>Scale-Up CEOs</t>
  </si>
  <si>
    <t>Leadership Teams</t>
  </si>
  <si>
    <t>startup Founders</t>
  </si>
  <si>
    <t>Hiring Managers</t>
  </si>
  <si>
    <t>Pain-point hook</t>
  </si>
  <si>
    <t>Awareness CTA</t>
  </si>
  <si>
    <t>Capture attention</t>
  </si>
  <si>
    <t>Urgency</t>
  </si>
  <si>
    <t>Hiring math is broken</t>
  </si>
  <si>
    <t>Personal engagement</t>
  </si>
  <si>
    <t>Personal brand</t>
  </si>
  <si>
    <t>Relatable + curiosity hook</t>
  </si>
  <si>
    <t>Personal networking CTA</t>
  </si>
  <si>
    <t>Encourage knowledge-sharing</t>
  </si>
  <si>
    <t>Intellectual curiosity</t>
  </si>
  <si>
    <t>Nostalgia</t>
  </si>
  <si>
    <t>Startup leadership</t>
  </si>
  <si>
    <t>Content consumption CTA</t>
  </si>
  <si>
    <t>Increase video views</t>
  </si>
  <si>
    <t>Startup culture as system</t>
  </si>
  <si>
    <t>Authority</t>
  </si>
  <si>
    <t>Hiring speed vs structure trade-off</t>
  </si>
  <si>
    <t>Drive video views</t>
  </si>
  <si>
    <t>Myth-busting</t>
  </si>
  <si>
    <t>Startup growth</t>
  </si>
  <si>
    <t>Digital Creators</t>
  </si>
  <si>
    <t>Personal Brand Builders</t>
  </si>
  <si>
    <t>Startup Founders</t>
  </si>
  <si>
    <t>Educational + Advisory</t>
  </si>
  <si>
    <t>Health / Holistic wellness</t>
  </si>
  <si>
    <t>Provocative + Relatable</t>
  </si>
  <si>
    <t>Educational / Advisory CTA</t>
  </si>
  <si>
    <t>Establish authority in holistic health</t>
  </si>
  <si>
    <t>Toxic exposure in modern life</t>
  </si>
  <si>
    <t>Educational + Inspirational</t>
  </si>
  <si>
    <t>Health, Fitness, Biohacking</t>
  </si>
  <si>
    <t>Contrarian + Provocative</t>
  </si>
  <si>
    <t>Authority-building</t>
  </si>
  <si>
    <t>Build audience</t>
  </si>
  <si>
    <t>science-backed guidance</t>
  </si>
  <si>
    <t>Inspiration / Aspiration</t>
  </si>
  <si>
    <t>Relatable + Humorous</t>
  </si>
  <si>
    <t>Direct / Lead generation</t>
  </si>
  <si>
    <t xml:space="preserve">Holiday-relevant </t>
  </si>
  <si>
    <t>Reassurance / Empowerment</t>
  </si>
  <si>
    <t>Chris Stambolidis</t>
  </si>
  <si>
    <t>https://www.linkedin.com/in/christos-stambolidis-900227211/</t>
  </si>
  <si>
    <t>C-suite &amp; Senior Executives</t>
  </si>
  <si>
    <t>Mid-to-Senior Level Professionals</t>
  </si>
  <si>
    <t>Career Transitioners</t>
  </si>
  <si>
    <t>High-Achieving Professionals</t>
  </si>
  <si>
    <t>Executive career coaching</t>
  </si>
  <si>
    <t>Problem-focused + Relatable</t>
  </si>
  <si>
    <t>Instructional / Advisory</t>
  </si>
  <si>
    <t>Educate and guide</t>
  </si>
  <si>
    <t>Executive interviews</t>
  </si>
  <si>
    <t>Empathy / relatability</t>
  </si>
  <si>
    <t>Career guidance</t>
  </si>
  <si>
    <t xml:space="preserve">Contrarian + Relatable </t>
  </si>
  <si>
    <t>Social engagement / share</t>
  </si>
  <si>
    <t>Increase reach and awareness</t>
  </si>
  <si>
    <t>Practical guidance</t>
  </si>
  <si>
    <t>Relatable + Problem-focused</t>
  </si>
  <si>
    <t>Content engagement</t>
  </si>
  <si>
    <t>Lead audience</t>
  </si>
  <si>
    <t>Executive interview strategy</t>
  </si>
  <si>
    <t>Relief / reassurance</t>
  </si>
  <si>
    <t>Career coaching</t>
  </si>
  <si>
    <t>Engagement / Comments</t>
  </si>
  <si>
    <t>Drive audience engagement</t>
  </si>
  <si>
    <t>Professional guidance</t>
  </si>
  <si>
    <t>Curiosity / reflection</t>
  </si>
  <si>
    <t>Diana Mentzer</t>
  </si>
  <si>
    <t>https://www.linkedin.com/in/diane-integrates/</t>
  </si>
  <si>
    <t>Paul Lewis</t>
  </si>
  <si>
    <t>https://www.linkedin.com/in/paulrlewis1/</t>
  </si>
  <si>
    <t xml:space="preserve">Dr. Ana María López Caldwell </t>
  </si>
  <si>
    <t>https://www.linkedin.com/in/anamarialopezcaldwell/</t>
  </si>
  <si>
    <t>Monica Verma</t>
  </si>
  <si>
    <t>https://www.linkedin.com/in/monicaverma/</t>
  </si>
  <si>
    <t>Chris Barnhill</t>
  </si>
  <si>
    <t>https://www.linkedin.com/in/christopherbarnhill/</t>
  </si>
  <si>
    <t>Leadership Executives</t>
  </si>
  <si>
    <t>Aspiring COOs</t>
  </si>
  <si>
    <t>Next-Level Leaders</t>
  </si>
  <si>
    <t>High-Performing Managers</t>
  </si>
  <si>
    <t>Curiosity + tension-based</t>
  </si>
  <si>
    <t>Soft brand positioning CTA</t>
  </si>
  <si>
    <t>Preventive leadership</t>
  </si>
  <si>
    <t>Loss of trust</t>
  </si>
  <si>
    <t>Implicit authority CTA</t>
  </si>
  <si>
    <t>Brand awareness</t>
  </si>
  <si>
    <t>Fear of misalignment</t>
  </si>
  <si>
    <t>Emotional honesty</t>
  </si>
  <si>
    <t>Implicit authority</t>
  </si>
  <si>
    <t>Trust building</t>
  </si>
  <si>
    <t>Executive isolation</t>
  </si>
  <si>
    <t>Emotional isolation</t>
  </si>
  <si>
    <t>Curiosity + leadership growth</t>
  </si>
  <si>
    <t>Soft mindset-shift CTA</t>
  </si>
  <si>
    <t>Build authority + trust</t>
  </si>
  <si>
    <t>Curiosity as a leadership lever</t>
  </si>
  <si>
    <t>Relief and validation</t>
  </si>
  <si>
    <t>B2B Founders</t>
  </si>
  <si>
    <t>Business Owners</t>
  </si>
  <si>
    <t>CEOs</t>
  </si>
  <si>
    <t>Senior Marketing Leaders</t>
  </si>
  <si>
    <t>Behind-the-Scenes</t>
  </si>
  <si>
    <t>Personal Brand Building</t>
  </si>
  <si>
    <t>Identity-based hook</t>
  </si>
  <si>
    <t xml:space="preserve">Engagement-based </t>
  </si>
  <si>
    <t>Drive comments</t>
  </si>
  <si>
    <t>Humanizing expertise</t>
  </si>
  <si>
    <t>Team / Culture Post</t>
  </si>
  <si>
    <t>Employer Brand</t>
  </si>
  <si>
    <t>Belief-based hook</t>
  </si>
  <si>
    <t>Implicit / Sentiment-based</t>
  </si>
  <si>
    <t>Brand warmth &amp; goodwill</t>
  </si>
  <si>
    <t>Gratitude + momentum</t>
  </si>
  <si>
    <t>Belonging</t>
  </si>
  <si>
    <t>Announcement</t>
  </si>
  <si>
    <t>Community Impact</t>
  </si>
  <si>
    <t>Good news / Opportunity hook</t>
  </si>
  <si>
    <t>Directional / Informational</t>
  </si>
  <si>
    <t>Drive awareness &amp; action</t>
  </si>
  <si>
    <t>Support + empowerment</t>
  </si>
  <si>
    <t>Cause-led awareness</t>
  </si>
  <si>
    <t>Relatability + contrast hook</t>
  </si>
  <si>
    <t>Charitable / Action-oriented</t>
  </si>
  <si>
    <t>Drive donations</t>
  </si>
  <si>
    <t>Human impact</t>
  </si>
  <si>
    <t>Beginners</t>
  </si>
  <si>
    <t>Entrepreneurs/Creators</t>
  </si>
  <si>
    <t>Testimonial</t>
  </si>
  <si>
    <t>Personal Brand Authority</t>
  </si>
  <si>
    <t>Achievement Reveal</t>
  </si>
  <si>
    <t>Soft / Aspirational</t>
  </si>
  <si>
    <t>Build trust &amp; credibility</t>
  </si>
  <si>
    <t>Cultural leadership growth</t>
  </si>
  <si>
    <t>Lead Generation</t>
  </si>
  <si>
    <t>Aspirational</t>
  </si>
  <si>
    <t>Direct Message</t>
  </si>
  <si>
    <t>Generate coaching leads</t>
  </si>
  <si>
    <t>Aspiration</t>
  </si>
  <si>
    <t>Community Event</t>
  </si>
  <si>
    <t>Link-based CTA</t>
  </si>
  <si>
    <t>Event registrations</t>
  </si>
  <si>
    <t>Community Spotlight</t>
  </si>
  <si>
    <t>Appreciation</t>
  </si>
  <si>
    <t>Brand-alignment CTA</t>
  </si>
  <si>
    <t>Build values-based credibility</t>
  </si>
  <si>
    <t>Aspiring Leaders in Tech</t>
  </si>
  <si>
    <t>Current Executives</t>
  </si>
  <si>
    <t>Enterprises &amp; Businesses</t>
  </si>
  <si>
    <t>AI Professionals</t>
  </si>
  <si>
    <t>Personal Journey</t>
  </si>
  <si>
    <t>Build owned audience</t>
  </si>
  <si>
    <t>Emotional conflict</t>
  </si>
  <si>
    <t>Industry Insight</t>
  </si>
  <si>
    <t>Shock + Curiosity</t>
  </si>
  <si>
    <t>Contrarian + Bold Opinion</t>
  </si>
  <si>
    <t>Educational CTA</t>
  </si>
  <si>
    <t>Increase subscriptions</t>
  </si>
  <si>
    <t>Intellectual validation</t>
  </si>
  <si>
    <t xml:space="preserve">Text </t>
  </si>
  <si>
    <t>SaaS &amp; Technology Leaders</t>
  </si>
  <si>
    <t>Business &amp; P&amp;L Owners</t>
  </si>
  <si>
    <t>Product &amp; Operations Managers</t>
  </si>
  <si>
    <t>Enterprise Companies</t>
  </si>
  <si>
    <t>Event Reminder</t>
  </si>
  <si>
    <t>Career Support</t>
  </si>
  <si>
    <t>Time-based urgency</t>
  </si>
  <si>
    <t>Drive event registrations</t>
  </si>
  <si>
    <t>Support</t>
  </si>
  <si>
    <t>Contrarian / Reframe hook</t>
  </si>
  <si>
    <t>Implicit mindset CTA</t>
  </si>
  <si>
    <t>Thought leadership</t>
  </si>
  <si>
    <t>Recruitment</t>
  </si>
  <si>
    <t>Direct ask + Network call-out</t>
  </si>
  <si>
    <t>Source qualified candidates</t>
  </si>
  <si>
    <t>Helpfulness</t>
  </si>
  <si>
    <t>Generate qualified referrals</t>
  </si>
  <si>
    <t>Professional helpfulness</t>
  </si>
  <si>
    <t>Brett Huntington</t>
  </si>
  <si>
    <t>https://www.linkedin.com/in/brett-r-huntington/</t>
  </si>
  <si>
    <t>Americo Da Costa</t>
  </si>
  <si>
    <t>https://www.linkedin.com/in/americodacosta/</t>
  </si>
  <si>
    <t xml:space="preserve">Grant Dowsett </t>
  </si>
  <si>
    <t>https://www.linkedin.com/in/grant-dowsett-success-mindset-coach/</t>
  </si>
  <si>
    <t>Andrea Petrone</t>
  </si>
  <si>
    <t>https://www.linkedin.com/in/andreapetrone/</t>
  </si>
  <si>
    <t>Aundrea de Leon</t>
  </si>
  <si>
    <t>https://www.linkedin.com/in/aundreadeleon/</t>
  </si>
  <si>
    <t>Tom Cabin</t>
  </si>
  <si>
    <t>https://www.linkedin.com/in/tomcobin-dynamicoach/</t>
  </si>
  <si>
    <t xml:space="preserve"> Engagement</t>
  </si>
  <si>
    <t>Holiday-themed hook</t>
  </si>
  <si>
    <t>Link-based</t>
  </si>
  <si>
    <t>Drive tool downloads</t>
  </si>
  <si>
    <t>Personal Finance</t>
  </si>
  <si>
    <t>Holiday hook</t>
  </si>
  <si>
    <t>Storytelling</t>
  </si>
  <si>
    <t>Financial Wellness</t>
  </si>
  <si>
    <t>Curiosity / Relatable tension</t>
  </si>
  <si>
    <t>Life &amp; Personal Growth</t>
  </si>
  <si>
    <t>Listicle / Curiosity</t>
  </si>
  <si>
    <t>Behavior-driven CTA</t>
  </si>
  <si>
    <t>Drive reflection</t>
  </si>
  <si>
    <t>Families with Kids</t>
  </si>
  <si>
    <t>Middle-Income Earners</t>
  </si>
  <si>
    <t>Debt-Carrying Professionals</t>
  </si>
  <si>
    <t>Experience-Driven Planners</t>
  </si>
  <si>
    <t>Brand Leaders</t>
  </si>
  <si>
    <t>Marketing Managers</t>
  </si>
  <si>
    <t>Thought Leaders</t>
  </si>
  <si>
    <t>Personal Brands</t>
  </si>
  <si>
    <t>Personal milestone</t>
  </si>
  <si>
    <t>Date &amp; Event Hook</t>
  </si>
  <si>
    <t>Follow page</t>
  </si>
  <si>
    <t>Drive event attendance</t>
  </si>
  <si>
    <t>Virtual Events</t>
  </si>
  <si>
    <t>Gather insights</t>
  </si>
  <si>
    <t>Virtual Branding</t>
  </si>
  <si>
    <t>Content Promotion</t>
  </si>
  <si>
    <t>Educate audience</t>
  </si>
  <si>
    <t>Business owners</t>
  </si>
  <si>
    <t>Leaders &amp; executives</t>
  </si>
  <si>
    <t>Aspirational Audience</t>
  </si>
  <si>
    <t>Command / Disruptive Hook</t>
  </si>
  <si>
    <t>Engagement-based CTA</t>
  </si>
  <si>
    <t>Overwhelm relief</t>
  </si>
  <si>
    <t>Curiosity + Authority Hook</t>
  </si>
  <si>
    <t>Spark comments</t>
  </si>
  <si>
    <t>Pain-based + Command Hook</t>
  </si>
  <si>
    <t>Stress relief</t>
  </si>
  <si>
    <t>Contrarian + Curiosity Hook</t>
  </si>
  <si>
    <t>Managing Directors</t>
  </si>
  <si>
    <t>Investors</t>
  </si>
  <si>
    <t>Leadership Development</t>
  </si>
  <si>
    <t>Curiosity + Authority</t>
  </si>
  <si>
    <t>Conversion-based</t>
  </si>
  <si>
    <t>Drive qualified leads</t>
  </si>
  <si>
    <t>Insight + Pain-based Hook</t>
  </si>
  <si>
    <t>Increase reach</t>
  </si>
  <si>
    <t>CEO Transitions</t>
  </si>
  <si>
    <t>Authority + Contrarian Framing</t>
  </si>
  <si>
    <t>Pattern interrupt + Reframe</t>
  </si>
  <si>
    <t>Vulnerability</t>
  </si>
  <si>
    <t>Visionary Founders</t>
  </si>
  <si>
    <t>Personal</t>
  </si>
  <si>
    <t>Year-in-review</t>
  </si>
  <si>
    <t>Personal shout-out</t>
  </si>
  <si>
    <t>Coaching</t>
  </si>
  <si>
    <t>Insight-based hook</t>
  </si>
  <si>
    <t>Soft promotional CTA</t>
  </si>
  <si>
    <t>Drive live event attendance</t>
  </si>
  <si>
    <t>Conversation teaser</t>
  </si>
  <si>
    <t>Curiosity-driven hook</t>
  </si>
  <si>
    <t>Implicit awareness CTA</t>
  </si>
  <si>
    <t>Spark curiosity</t>
  </si>
  <si>
    <t>coach manifesto-style post</t>
  </si>
  <si>
    <t>Personal branding</t>
  </si>
  <si>
    <t>Personal conviction hook</t>
  </si>
  <si>
    <t>Soft brand awareness</t>
  </si>
  <si>
    <t>Clarify personal mission</t>
  </si>
  <si>
    <t>Senior Professionals &amp; Executives</t>
  </si>
  <si>
    <t>Framework-based</t>
  </si>
  <si>
    <t>Soft Engagement CTA</t>
  </si>
  <si>
    <t>Engagement &amp; Reach</t>
  </si>
  <si>
    <t>Clarity</t>
  </si>
  <si>
    <t>Informational</t>
  </si>
  <si>
    <t>Security Update</t>
  </si>
  <si>
    <t>Transparency</t>
  </si>
  <si>
    <t>Preventive / Advisory CTA</t>
  </si>
  <si>
    <t>Risk Mitigation &amp; User Safety</t>
  </si>
  <si>
    <t>Safety &amp; Trust</t>
  </si>
  <si>
    <t>Communication Skills</t>
  </si>
  <si>
    <t>Relatable Pain</t>
  </si>
  <si>
    <t>Feedback Loop CTA</t>
  </si>
  <si>
    <t>Engagement, Community Interaction</t>
  </si>
  <si>
    <t>Discomfort avoidance</t>
  </si>
  <si>
    <t>Mental Performance</t>
  </si>
  <si>
    <t>Authority + Curiosity Hook</t>
  </si>
  <si>
    <t>Soft Feedback CTA</t>
  </si>
  <si>
    <t>Engagement + Link Interaction</t>
  </si>
  <si>
    <t>Relief from anxiety</t>
  </si>
  <si>
    <t>Seweryn Choinkowski</t>
  </si>
  <si>
    <t>https://www.linkedin.com/in/sewchoinkowski/</t>
  </si>
  <si>
    <t>Maija Morton</t>
  </si>
  <si>
    <t>https://www.linkedin.com/in/maija-morton-b2b287192/</t>
  </si>
  <si>
    <t>Alyssa (Scheper) Smith</t>
  </si>
  <si>
    <t>https://www.linkedin.com/in/alyssasmithcoaching/</t>
  </si>
  <si>
    <t>Jade</t>
  </si>
  <si>
    <t>https://www.linkedin.com/in/makethegradewithjade/</t>
  </si>
  <si>
    <t>Cathy Du</t>
  </si>
  <si>
    <t>https://www.linkedin.com/in/cathy-du/</t>
  </si>
  <si>
    <t>Luke Haythorpe</t>
  </si>
  <si>
    <t>https://www.linkedin.com/in/lukehaythorpe/</t>
  </si>
  <si>
    <t>Melinda Ramirez</t>
  </si>
  <si>
    <t>https://www.linkedin.com/in/melindaeramirez/</t>
  </si>
  <si>
    <t>Swaima Ahmad</t>
  </si>
  <si>
    <t>https://www.linkedin.com/in/swaimaahmad/</t>
  </si>
  <si>
    <t>Monika Yadav</t>
  </si>
  <si>
    <t>https://www.linkedin.com/in/monikalifezen/</t>
  </si>
  <si>
    <t>Saurabh Patil</t>
  </si>
  <si>
    <t>https://www.linkedin.com/in/drsaurabhpatil/</t>
  </si>
  <si>
    <t>Arun Luiz</t>
  </si>
  <si>
    <t>https://www.linkedin.com/in/arun-luiz-ph-d-314331140/</t>
  </si>
  <si>
    <t>Sunny Nagpal</t>
  </si>
  <si>
    <t>https://www.linkedin.com/in/braincoachsunny/</t>
  </si>
  <si>
    <t>Spiritual Explorers</t>
  </si>
  <si>
    <t>Self-Growth Seekers</t>
  </si>
  <si>
    <t>Career–Life Balance</t>
  </si>
  <si>
    <t>Emotional + Relatability Hook</t>
  </si>
  <si>
    <t>Engagement + Reflection CTA</t>
  </si>
  <si>
    <t>Self-acceptance</t>
  </si>
  <si>
    <t>C-Suite Leaders</t>
  </si>
  <si>
    <t>Leadership Psychology</t>
  </si>
  <si>
    <t>Thought-Provoking CTA</t>
  </si>
  <si>
    <t>Thought leadership credibility</t>
  </si>
  <si>
    <t>Pressure</t>
  </si>
  <si>
    <t>Personal Growth Insight</t>
  </si>
  <si>
    <t>Emotional Insight Hook</t>
  </si>
  <si>
    <t>Identity-affirming CTA</t>
  </si>
  <si>
    <t>Quiet authority building</t>
  </si>
  <si>
    <t>Behavioural CTA</t>
  </si>
  <si>
    <t>Identity reinforcement</t>
  </si>
  <si>
    <t>Wholeness is power</t>
  </si>
  <si>
    <t>Your growth disrupts familiarity</t>
  </si>
  <si>
    <t>Implicit Authority CTA</t>
  </si>
  <si>
    <t>Women Entrepreneurs</t>
  </si>
  <si>
    <t>Career-Focused Women</t>
  </si>
  <si>
    <t>Digital Nomads</t>
  </si>
  <si>
    <t>Personal Storytelling</t>
  </si>
  <si>
    <t>Relatable + Insightful Hook</t>
  </si>
  <si>
    <t>Direct messaging</t>
  </si>
  <si>
    <t>System Reset</t>
  </si>
  <si>
    <t>Relief</t>
  </si>
  <si>
    <t>Relatable + Surprise</t>
  </si>
  <si>
    <t>Courageous Growth</t>
  </si>
  <si>
    <t>Business Mindset</t>
  </si>
  <si>
    <t>Relatable + Contrarian Hook</t>
  </si>
  <si>
    <t>Comment-based engagement</t>
  </si>
  <si>
    <t>Inner Alignment</t>
  </si>
  <si>
    <t>Parents in Life Transitions</t>
  </si>
  <si>
    <t>Burned-Out Parents</t>
  </si>
  <si>
    <t>Parents Raising Resilient Kids</t>
  </si>
  <si>
    <t>Parents Seeking Professional Guidance</t>
  </si>
  <si>
    <t>Grief &amp; Loss</t>
  </si>
  <si>
    <t>Emotional + Relatable Hook</t>
  </si>
  <si>
    <t>Encouragement</t>
  </si>
  <si>
    <t>Increase engagement</t>
  </si>
  <si>
    <t>Grief Reflection</t>
  </si>
  <si>
    <t>Parenting</t>
  </si>
  <si>
    <t>Relatable + Curiosity Hook</t>
  </si>
  <si>
    <t>Mindful Parenting</t>
  </si>
  <si>
    <t>Direct Engagement</t>
  </si>
  <si>
    <t>Connection + Boundaries</t>
  </si>
  <si>
    <t>Curiosity + Contrarian Hook</t>
  </si>
  <si>
    <t>Parenting Philosophy</t>
  </si>
  <si>
    <t>Job Seekers in Gaming &amp; Tech</t>
  </si>
  <si>
    <t>ESL Professionals</t>
  </si>
  <si>
    <t>Career Changers</t>
  </si>
  <si>
    <t>Resource</t>
  </si>
  <si>
    <t>Career</t>
  </si>
  <si>
    <t>Informational Hook</t>
  </si>
  <si>
    <t>Hope</t>
  </si>
  <si>
    <t>Personal Reflection</t>
  </si>
  <si>
    <t>Emotional Hook</t>
  </si>
  <si>
    <t>Recovery Awareness</t>
  </si>
  <si>
    <t>Compassion</t>
  </si>
  <si>
    <t>Annual Report</t>
  </si>
  <si>
    <t>Creativity</t>
  </si>
  <si>
    <t>External link</t>
  </si>
  <si>
    <t>AI Creativity</t>
  </si>
  <si>
    <t>Coaching seekers</t>
  </si>
  <si>
    <t>Individuals seeking career clarity</t>
  </si>
  <si>
    <t>Mid-to-senior level professionals</t>
  </si>
  <si>
    <t>people seeking career change</t>
  </si>
  <si>
    <t>Personal Brand</t>
  </si>
  <si>
    <t>Leadership Lessons</t>
  </si>
  <si>
    <t>Soft / Implicit</t>
  </si>
  <si>
    <t>Brand affinity</t>
  </si>
  <si>
    <t>Leadership Growth</t>
  </si>
  <si>
    <t>Personal Brand Update</t>
  </si>
  <si>
    <t>Business Reset</t>
  </si>
  <si>
    <t>Pattern interrupt + curiosity gap</t>
  </si>
  <si>
    <t>Anticipatory</t>
  </si>
  <si>
    <t>Audience retention</t>
  </si>
  <si>
    <t>Intentional Pause</t>
  </si>
  <si>
    <t>Authority Story</t>
  </si>
  <si>
    <t>Career Pivot</t>
  </si>
  <si>
    <t>Outcome-driven + Contrarian</t>
  </si>
  <si>
    <t>Direct + Conversion-focused</t>
  </si>
  <si>
    <t>Lead generation</t>
  </si>
  <si>
    <t>Strategic Positioning</t>
  </si>
  <si>
    <t>Career Update</t>
  </si>
  <si>
    <t>Milestone + Personal Identity</t>
  </si>
  <si>
    <t>Aligned Expansion</t>
  </si>
  <si>
    <t>Senior leaders</t>
  </si>
  <si>
    <t>High-performing professionals</t>
  </si>
  <si>
    <t>Growth-driven individuals</t>
  </si>
  <si>
    <t>Managers overwhelmed by leadership</t>
  </si>
  <si>
    <t>leadership mindset</t>
  </si>
  <si>
    <t>Direct address</t>
  </si>
  <si>
    <t>Inspire generosity</t>
  </si>
  <si>
    <t>Generous leadership</t>
  </si>
  <si>
    <t>Personal brand storytelling</t>
  </si>
  <si>
    <t>curiosity hook</t>
  </si>
  <si>
    <t>Soft promotional</t>
  </si>
  <si>
    <t>Newsletter sign-ups</t>
  </si>
  <si>
    <t>Lived transitions</t>
  </si>
  <si>
    <t>Human leadership</t>
  </si>
  <si>
    <t>Implicit emotional resonance</t>
  </si>
  <si>
    <t>Emotional connection</t>
  </si>
  <si>
    <t>Quiet meaning</t>
  </si>
  <si>
    <t>Humility</t>
  </si>
  <si>
    <t>Life transition</t>
  </si>
  <si>
    <t>Soft conversion CTA</t>
  </si>
  <si>
    <t>Lead qualification</t>
  </si>
  <si>
    <t>Finding direction</t>
  </si>
  <si>
    <t>Executives</t>
  </si>
  <si>
    <t>Senior Leaders</t>
  </si>
  <si>
    <t>Social Proof</t>
  </si>
  <si>
    <t>Emotional / Values-based</t>
  </si>
  <si>
    <t>Community Leadership</t>
  </si>
  <si>
    <t>Job Search</t>
  </si>
  <si>
    <t>Context-setting</t>
  </si>
  <si>
    <t>Direct ask</t>
  </si>
  <si>
    <t>Opportunity discovery</t>
  </si>
  <si>
    <t>Career Persistence</t>
  </si>
  <si>
    <t>Vulnerability + Hope</t>
  </si>
  <si>
    <t>Curated Story</t>
  </si>
  <si>
    <t>Health Awareness</t>
  </si>
  <si>
    <t>Pattern interrupt</t>
  </si>
  <si>
    <t>Health awareness</t>
  </si>
  <si>
    <t>Health Advocacy</t>
  </si>
  <si>
    <t>Friendly announcement</t>
  </si>
  <si>
    <t>Networking CTA</t>
  </si>
  <si>
    <t>Job leads</t>
  </si>
  <si>
    <t>Professional optimism + Trust</t>
  </si>
  <si>
    <t>Students &amp; Youth</t>
  </si>
  <si>
    <t>Corporate Professionals</t>
  </si>
  <si>
    <t>Educational Institutions</t>
  </si>
  <si>
    <t>Organizations &amp; NGOs</t>
  </si>
  <si>
    <t>Aspirational hook</t>
  </si>
  <si>
    <t>Purposeful Communication</t>
  </si>
  <si>
    <t>Inspiration + Connection</t>
  </si>
  <si>
    <t>Public Speaking</t>
  </si>
  <si>
    <t>Emotional hook</t>
  </si>
  <si>
    <t>Implicit brand positioning</t>
  </si>
  <si>
    <t>Authority building</t>
  </si>
  <si>
    <t>Empowerment Messaging</t>
  </si>
  <si>
    <t>Personal Milestone</t>
  </si>
  <si>
    <t>Nostalgic hook</t>
  </si>
  <si>
    <t>Implicit appreciation</t>
  </si>
  <si>
    <t>Full Circle</t>
  </si>
  <si>
    <t>Professional Achievement</t>
  </si>
  <si>
    <t>Implicit inspiration</t>
  </si>
  <si>
    <t>Academic Excellence</t>
  </si>
  <si>
    <t>Reflective hook</t>
  </si>
  <si>
    <t>Self-reflection</t>
  </si>
  <si>
    <t>Emotional resonance</t>
  </si>
  <si>
    <t>Inner Ownership</t>
  </si>
  <si>
    <t>Personal Insight</t>
  </si>
  <si>
    <t>Implicit reflection</t>
  </si>
  <si>
    <t>Everyday Wisdom</t>
  </si>
  <si>
    <t>Reassurance</t>
  </si>
  <si>
    <t>Insight-Based Post</t>
  </si>
  <si>
    <t>Self-Worth</t>
  </si>
  <si>
    <t>Inner Strength</t>
  </si>
  <si>
    <t>Professional Experience</t>
  </si>
  <si>
    <t>Credibility hook</t>
  </si>
  <si>
    <t>Workplace Wellness</t>
  </si>
  <si>
    <t>Responsibility</t>
  </si>
  <si>
    <t>Gratitude Hook</t>
  </si>
  <si>
    <t>Name-Drop Hook</t>
  </si>
  <si>
    <t>Self-Improvement</t>
  </si>
  <si>
    <t>Self-Assessment</t>
  </si>
  <si>
    <t>Emotional Mastery</t>
  </si>
  <si>
    <t>Self-Reflection</t>
  </si>
  <si>
    <t>Students</t>
  </si>
  <si>
    <t>Insightful messaging</t>
  </si>
  <si>
    <t>Self-motivating</t>
  </si>
  <si>
    <t>Inspire personal growth</t>
  </si>
  <si>
    <t>Courage, Action</t>
  </si>
  <si>
    <t>Building confidence</t>
  </si>
  <si>
    <t>Empathetic opening</t>
  </si>
  <si>
    <t>Foster Mindfulness</t>
  </si>
  <si>
    <t>Reflection, Gratitude</t>
  </si>
  <si>
    <t>Relatable reflection</t>
  </si>
  <si>
    <t>Growth mindset</t>
  </si>
  <si>
    <t>Anecdotal reflection</t>
  </si>
  <si>
    <t>Education</t>
  </si>
  <si>
    <t>Gratitude + reflective</t>
  </si>
  <si>
    <t>Reflective</t>
  </si>
  <si>
    <t>Highlight mentorship</t>
  </si>
  <si>
    <t>Mentorship</t>
  </si>
  <si>
    <t>Shivani Gupta</t>
  </si>
  <si>
    <t>https://www.linkedin.com/in/cashivani/</t>
  </si>
  <si>
    <t>Wilfred Shreyas</t>
  </si>
  <si>
    <t>https://www.linkedin.com/in/wilfred-shreyas-788006105/</t>
  </si>
  <si>
    <t>Organizations</t>
  </si>
  <si>
    <t>Institutions</t>
  </si>
  <si>
    <t>Seminar Update</t>
  </si>
  <si>
    <t>Achievement / Experience Hook</t>
  </si>
  <si>
    <t>Session Recap</t>
  </si>
  <si>
    <t>Personal Experience Hook</t>
  </si>
  <si>
    <t>Relationship-building</t>
  </si>
  <si>
    <t xml:space="preserve">Inspiration </t>
  </si>
  <si>
    <t>Achievement Hook</t>
  </si>
  <si>
    <t>Professional Growth</t>
  </si>
  <si>
    <t>Achievement Update</t>
  </si>
  <si>
    <t>Aspiring Professionals</t>
  </si>
  <si>
    <t>Early-Career Individuals</t>
  </si>
  <si>
    <t>Coaches, Trainers</t>
  </si>
  <si>
    <t>Speakers &amp; Authors</t>
  </si>
  <si>
    <t>Future-Oriented Hook</t>
  </si>
  <si>
    <t>Direct Action / Event Join</t>
  </si>
  <si>
    <t>Middle</t>
  </si>
  <si>
    <t>Future Planning</t>
  </si>
  <si>
    <t>Festive Greeting</t>
  </si>
  <si>
    <t>Personal Branding</t>
  </si>
  <si>
    <t>Emotional + Festive Hook</t>
  </si>
  <si>
    <t>Community bonding</t>
  </si>
  <si>
    <t>Gratitude Reflection</t>
  </si>
  <si>
    <t>Future-Oriented + Invitation</t>
  </si>
  <si>
    <t>Direct Action CTA</t>
  </si>
  <si>
    <t>Community Growth</t>
  </si>
  <si>
    <t>Vision Planning</t>
  </si>
  <si>
    <t>Reflection Post</t>
  </si>
  <si>
    <t>Concept Hook</t>
  </si>
  <si>
    <t>Mindset shift</t>
  </si>
  <si>
    <t>Moral Clarity</t>
  </si>
  <si>
    <t>Authority Proof</t>
  </si>
  <si>
    <t>Lead Capture</t>
  </si>
  <si>
    <t>Credibility Story</t>
  </si>
  <si>
    <t>Industry Intelligence</t>
  </si>
  <si>
    <t>Career Enablement</t>
  </si>
  <si>
    <t>Talent Acquisition</t>
  </si>
  <si>
    <t>Audience Engagement</t>
  </si>
  <si>
    <t>Money Awareness</t>
  </si>
  <si>
    <t>Wellness Storytelling</t>
  </si>
  <si>
    <t>Leadership Announcement</t>
  </si>
  <si>
    <t>Inspirational Leadership</t>
  </si>
  <si>
    <t>Virtual Authority</t>
  </si>
  <si>
    <t>Digital Branding</t>
  </si>
  <si>
    <t>Mindset Training</t>
  </si>
  <si>
    <t>Leader Development</t>
  </si>
  <si>
    <t>Executive Transition</t>
  </si>
  <si>
    <t>Reflective Growth</t>
  </si>
  <si>
    <t>Coaching Authority</t>
  </si>
  <si>
    <t>Curiosity Trigger</t>
  </si>
  <si>
    <t>Brand Philosophy</t>
  </si>
  <si>
    <t>Skill Growth</t>
  </si>
  <si>
    <t>Trust Assurance</t>
  </si>
  <si>
    <t>Communication Mastery</t>
  </si>
  <si>
    <t>Mental Excellence</t>
  </si>
  <si>
    <t>Work–Life Harmony</t>
  </si>
  <si>
    <t>Leadership Authority</t>
  </si>
  <si>
    <t>Randy Belham</t>
  </si>
  <si>
    <t>Event Anouncement</t>
  </si>
  <si>
    <t>Educational Post</t>
  </si>
  <si>
    <t>Event Remainder</t>
  </si>
  <si>
    <t>Pratik Patel</t>
  </si>
  <si>
    <t>https://www.linkedin.com/in/pratik-patel-d21/</t>
  </si>
  <si>
    <t>Working Professionals</t>
  </si>
  <si>
    <t>Poll</t>
  </si>
  <si>
    <t>Poll Post</t>
  </si>
  <si>
    <t>Audience Research</t>
  </si>
  <si>
    <t>Problem-Based Hook</t>
  </si>
  <si>
    <t>Authority Gap</t>
  </si>
  <si>
    <t>Promotional Post</t>
  </si>
  <si>
    <t>Authority Building</t>
  </si>
  <si>
    <t>Authority Selling</t>
  </si>
  <si>
    <t>Outcome Based Hook</t>
  </si>
  <si>
    <t>Event Attendance</t>
  </si>
  <si>
    <t>Outcome Promise</t>
  </si>
  <si>
    <t>Text Post</t>
  </si>
  <si>
    <t>Confessional + Contrarian Hook</t>
  </si>
  <si>
    <t>Mindset Shift</t>
  </si>
  <si>
    <t>Authority Through Visibility</t>
  </si>
  <si>
    <t>Regret → Inspiration → Urgency</t>
  </si>
  <si>
    <t>Sanjay Jain</t>
  </si>
  <si>
    <t>Shivam Lalchandani</t>
  </si>
  <si>
    <t>Shweta Bajaj</t>
  </si>
  <si>
    <t>Preeti Gandhi</t>
  </si>
  <si>
    <t>Kashesh Chabbria</t>
  </si>
  <si>
    <t>Ravi Badoni</t>
  </si>
  <si>
    <t>Soni Singh</t>
  </si>
  <si>
    <t>Dr. Saloni Singh</t>
  </si>
  <si>
    <t>Vinod Chaubbey</t>
  </si>
  <si>
    <t>Georgia Smith</t>
  </si>
  <si>
    <t>Shreshtha Mittal</t>
  </si>
  <si>
    <t>Roli Kesarwani</t>
  </si>
  <si>
    <t>Vinay Patil</t>
  </si>
  <si>
    <t>Geetanjali Papreja</t>
  </si>
  <si>
    <t>Rajat Khatri</t>
  </si>
  <si>
    <t xml:space="preserve">Dr. Sreeveni </t>
  </si>
  <si>
    <t>Sadhanaa Giri</t>
  </si>
  <si>
    <t>Gaurav Bansod</t>
  </si>
  <si>
    <t>Harneet Kaur</t>
  </si>
  <si>
    <t>Divyesh Wani</t>
  </si>
  <si>
    <t>Sunny Thakur</t>
  </si>
  <si>
    <t>Sanskriti Agrawal</t>
  </si>
  <si>
    <t>https://www.linkedin.com/in/jainsanjay123/</t>
  </si>
  <si>
    <t>https://www.linkedin.com/in/shivam-lalchandani-6642261b7/</t>
  </si>
  <si>
    <t>https://www.linkedin.com/in/coachshwetabajaj/</t>
  </si>
  <si>
    <t>https://www.linkedin.com/in/preeti-gandhi/</t>
  </si>
  <si>
    <t>https://www.linkedin.com/in/kasheshchhabbria/</t>
  </si>
  <si>
    <t>https://www.linkedin.com/in/ravi-bodani-b2749380/</t>
  </si>
  <si>
    <t>https://www.linkedin.com/in/soni-singh-nlpcoach/</t>
  </si>
  <si>
    <t>https://www.linkedin.com/in/lifecoachdrsalonisingh/</t>
  </si>
  <si>
    <t>https://www.linkedin.com/in/vinod-kr-choubey-vkcthecoach-678603a0/</t>
  </si>
  <si>
    <t>https://www.linkedin.com/in/georgiastjohnsmith/</t>
  </si>
  <si>
    <t>https://www.linkedin.com/in/shreshthamittal/</t>
  </si>
  <si>
    <t>https://www.linkedin.com/in/roli-kesarwani/</t>
  </si>
  <si>
    <t>http://linkedin.com/in/winaypatil/</t>
  </si>
  <si>
    <t>https://www.linkedin.com/in/geetanjali-papreja/</t>
  </si>
  <si>
    <t>https://www.linkedin.com/in/rajatkhatri-hla/</t>
  </si>
  <si>
    <t>https://www.linkedin.com/in/sreeveniv-transformational-catalyst-self-worth-influencer/</t>
  </si>
  <si>
    <t>https://www.linkedin.com/in/sadhanaa-executivecoach-speaker/</t>
  </si>
  <si>
    <t>https://www.linkedin.com/in/gaurav-bansod-phd-03704535/</t>
  </si>
  <si>
    <t>https://www.linkedin.com/in/harneet-kaur-kohli/</t>
  </si>
  <si>
    <t>https://www.linkedin.com/in/divyeshwani/</t>
  </si>
  <si>
    <t>https://www.linkedin.com/in/sunny-thakur-lakshya-signages//</t>
  </si>
  <si>
    <t>https://www.linkedin.com/in/sanskriti-agarwal-44161625a/</t>
  </si>
  <si>
    <t>Students &amp; Young Adults</t>
  </si>
  <si>
    <t>Motivational Quote</t>
  </si>
  <si>
    <t>Emotional + Aspirational</t>
  </si>
  <si>
    <t>Legacy Building</t>
  </si>
  <si>
    <t>Responsibility + Family Pride</t>
  </si>
  <si>
    <t>Question-based + Fear-trigger</t>
  </si>
  <si>
    <t>Lead Generation + Comment CTA</t>
  </si>
  <si>
    <t>Persistence Mindset</t>
  </si>
  <si>
    <t>Fear of Failure + Hope</t>
  </si>
  <si>
    <t>Question-based + Logic-driven</t>
  </si>
  <si>
    <t>Directional Success</t>
  </si>
  <si>
    <t>Clarity + Self-reflection</t>
  </si>
  <si>
    <t>Festive Visual Post</t>
  </si>
  <si>
    <t>Occasion-based</t>
  </si>
  <si>
    <t>Festive Gratitude</t>
  </si>
  <si>
    <t>Belonging + Positivity</t>
  </si>
  <si>
    <t>Aspiring Leaders &amp; Trainers</t>
  </si>
  <si>
    <t>Social Institutions (B2B)</t>
  </si>
  <si>
    <t>Reflective Text Post</t>
  </si>
  <si>
    <t>Life Reflection</t>
  </si>
  <si>
    <t>Nostalgia-based + Emotional</t>
  </si>
  <si>
    <t>Spiritual Trust</t>
  </si>
  <si>
    <t>Nostalgia + Comfort + Faith</t>
  </si>
  <si>
    <t>Micro Thought</t>
  </si>
  <si>
    <t>Curiosity-based + Minimalist</t>
  </si>
  <si>
    <t>Focus Power</t>
  </si>
  <si>
    <t>Curiosity + Calm</t>
  </si>
  <si>
    <t>Inspirational Text Post</t>
  </si>
  <si>
    <t>Spiritual + Curiosity-based</t>
  </si>
  <si>
    <t>Inner Fulfillment</t>
  </si>
  <si>
    <t>Gratitude + Spirituality</t>
  </si>
  <si>
    <t>New Beginnings</t>
  </si>
  <si>
    <t>Hope + Positivity + Fresh Start</t>
  </si>
  <si>
    <t>Mid–Senior Professionals</t>
  </si>
  <si>
    <t>Coaches &amp; Entrepreneurs</t>
  </si>
  <si>
    <t>Organizations (B2B)</t>
  </si>
  <si>
    <t>Thought-Leadership</t>
  </si>
  <si>
    <t>Fact-based + Curiosity-driven</t>
  </si>
  <si>
    <t>Reflection-based CTA</t>
  </si>
  <si>
    <t>Drive thoughtful comments,</t>
  </si>
  <si>
    <t>Earned Confidence</t>
  </si>
  <si>
    <t>Clarity + Self-awareness</t>
  </si>
  <si>
    <t>Emotional + Reflective</t>
  </si>
  <si>
    <t>Community-building CTA</t>
  </si>
  <si>
    <t>Aligned Growth</t>
  </si>
  <si>
    <t>Authenticity + Gratitude</t>
  </si>
  <si>
    <t>Insight-based + Contrarian</t>
  </si>
  <si>
    <t>Engagement + Self-reflection CTA</t>
  </si>
  <si>
    <t>Inner Authority</t>
  </si>
  <si>
    <t>Clarity + Empowerment</t>
  </si>
  <si>
    <t>Personal Update Text Post</t>
  </si>
  <si>
    <t>Emotional + Seasonal</t>
  </si>
  <si>
    <t>Gratitude + Optimism</t>
  </si>
  <si>
    <t>Personal Update text post</t>
  </si>
  <si>
    <t>Decision Makers</t>
  </si>
  <si>
    <t>Career-Driven Individuals</t>
  </si>
  <si>
    <t>Organizations &amp; Corporates (B2B)</t>
  </si>
  <si>
    <t>Growth-Oriented Individuals</t>
  </si>
  <si>
    <t>Neuroscience ,Mindset</t>
  </si>
  <si>
    <t>Direct Lead Generation</t>
  </si>
  <si>
    <t>Encourage DMs</t>
  </si>
  <si>
    <t>Clarity Training</t>
  </si>
  <si>
    <t>Curiosity + Relief</t>
  </si>
  <si>
    <t>Personal Update Post</t>
  </si>
  <si>
    <t>Engagement / Relatability</t>
  </si>
  <si>
    <t>Curiosity + Relatable anecdote</t>
  </si>
  <si>
    <t>Comment CTA</t>
  </si>
  <si>
    <t>Human Presence</t>
  </si>
  <si>
    <t>Joy + Belonging</t>
  </si>
  <si>
    <t>Personal Insight Post</t>
  </si>
  <si>
    <t>Emotional + Relatable</t>
  </si>
  <si>
    <t>Authentic Reflection</t>
  </si>
  <si>
    <t>Micro-Reflection Post</t>
  </si>
  <si>
    <t>Festive • Mindfulness</t>
  </si>
  <si>
    <t>Emotional / Seasonal</t>
  </si>
  <si>
    <t>Festive Mindfulness</t>
  </si>
  <si>
    <t>Joy + Presence</t>
  </si>
  <si>
    <t>Aspiring Entrepreneurs</t>
  </si>
  <si>
    <t>Solopreneurs</t>
  </si>
  <si>
    <t>Small Business Owners</t>
  </si>
  <si>
    <t>Social Media Enthusiasts</t>
  </si>
  <si>
    <t>Advisory Text Post</t>
  </si>
  <si>
    <t>Emotional Wellbeing</t>
  </si>
  <si>
    <t>Question-based + Metaphorical</t>
  </si>
  <si>
    <t>Energy Boundaries</t>
  </si>
  <si>
    <t>Self-protection</t>
  </si>
  <si>
    <t>Women Empowerment</t>
  </si>
  <si>
    <t xml:space="preserve">Provocative Statement </t>
  </si>
  <si>
    <t>Voice Power</t>
  </si>
  <si>
    <t>Empowerment → Inspiration</t>
  </si>
  <si>
    <t>Mental Health</t>
  </si>
  <si>
    <t>Vulnerability hook</t>
  </si>
  <si>
    <t>Encouragement CTA</t>
  </si>
  <si>
    <t>Emotional support</t>
  </si>
  <si>
    <t>Gentle Resilience</t>
  </si>
  <si>
    <t>Hope • Reassurance</t>
  </si>
  <si>
    <t>Personal Story</t>
  </si>
  <si>
    <t>Self-doubt hook</t>
  </si>
  <si>
    <t>Empowerment CTA</t>
  </si>
  <si>
    <t>Encourage self-expression,</t>
  </si>
  <si>
    <t>Courageous Authenticity</t>
  </si>
  <si>
    <t>Hope → Self-belief</t>
  </si>
  <si>
    <t>Micro reflection post</t>
  </si>
  <si>
    <t>HR  Leaders</t>
  </si>
  <si>
    <t>Growth-Oriented Professionals</t>
  </si>
  <si>
    <t>Subconscious Work</t>
  </si>
  <si>
    <t>Direct + Event-Based CTA</t>
  </si>
  <si>
    <t>Event registration</t>
  </si>
  <si>
    <t>Metaphoric Healing</t>
  </si>
  <si>
    <t>Event-Based CTA</t>
  </si>
  <si>
    <t>START</t>
  </si>
  <si>
    <t>Course registration</t>
  </si>
  <si>
    <t>Reprogramming Identity</t>
  </si>
  <si>
    <t>Self-Awareness</t>
  </si>
  <si>
    <t>Skill Education</t>
  </si>
  <si>
    <t>Mindset Transformation</t>
  </si>
  <si>
    <t>Self-reflection Hook</t>
  </si>
  <si>
    <t>Registration CTA</t>
  </si>
  <si>
    <t>Course Enrollment</t>
  </si>
  <si>
    <t>Mindset Reprogramming</t>
  </si>
  <si>
    <t>High-Potential Professionals</t>
  </si>
  <si>
    <t>Working Mothers</t>
  </si>
  <si>
    <t>Ambitious Growth-Seekers</t>
  </si>
  <si>
    <t>Sensitive Overthinkers</t>
  </si>
  <si>
    <t>Psychology Research</t>
  </si>
  <si>
    <t>Pattern-Break Hook</t>
  </si>
  <si>
    <t>Reflection CTA</t>
  </si>
  <si>
    <t>Emotional Attunement</t>
  </si>
  <si>
    <t>Connection</t>
  </si>
  <si>
    <t>Emotional Safety</t>
  </si>
  <si>
    <t>Relationship awareness</t>
  </si>
  <si>
    <t>Awareness-based CTA</t>
  </si>
  <si>
    <t>Curiosity + Contrast Hook</t>
  </si>
  <si>
    <t>Celebratory</t>
  </si>
  <si>
    <t>Festive Warmth</t>
  </si>
  <si>
    <t>Joy</t>
  </si>
  <si>
    <t>Conscious CEOs</t>
  </si>
  <si>
    <t>Personal Evolution</t>
  </si>
  <si>
    <t>Emotional + Curiosity</t>
  </si>
  <si>
    <t>Conversational</t>
  </si>
  <si>
    <t>Invite aligned conversations</t>
  </si>
  <si>
    <t>Embodied Awakening</t>
  </si>
  <si>
    <t>DM-based Enrollment CTA</t>
  </si>
  <si>
    <t>Fill final seat</t>
  </si>
  <si>
    <t>Soulful Scaling</t>
  </si>
  <si>
    <t>Curiosity + Intellectual Reframe</t>
  </si>
  <si>
    <t>Embodied Intelligence</t>
  </si>
  <si>
    <t>Trust</t>
  </si>
  <si>
    <t>Leadership &amp; Humanity</t>
  </si>
  <si>
    <t>Emotional Shock + Curiosity</t>
  </si>
  <si>
    <t>Community Engagement CTA</t>
  </si>
  <si>
    <t>Encourage meaningful conversation</t>
  </si>
  <si>
    <t>Quiet Resilience</t>
  </si>
  <si>
    <t>Career Growth Seekers</t>
  </si>
  <si>
    <t>Business Owners &amp; Founders</t>
  </si>
  <si>
    <t>Leadership Appreciation</t>
  </si>
  <si>
    <t>Brand Authority</t>
  </si>
  <si>
    <t>Personal Experience</t>
  </si>
  <si>
    <t>Team Excellence</t>
  </si>
  <si>
    <t>Mentor Appreciation</t>
  </si>
  <si>
    <t>Story-based + Emotional</t>
  </si>
  <si>
    <t>Mentor Impact</t>
  </si>
  <si>
    <t>Professional Appreciation</t>
  </si>
  <si>
    <t>Leader Gratitude</t>
  </si>
  <si>
    <t>Respect</t>
  </si>
  <si>
    <t>Fitness Journey</t>
  </si>
  <si>
    <t>Health &amp; Wellness</t>
  </si>
  <si>
    <t>Relatable Pain Point</t>
  </si>
  <si>
    <t>Encourage readers</t>
  </si>
  <si>
    <t>Fitness Mindset</t>
  </si>
  <si>
    <t>Ambitious Female Entrepreneurs</t>
  </si>
  <si>
    <t>Female Founders</t>
  </si>
  <si>
    <t>Coaches, Consultants</t>
  </si>
  <si>
    <t>Aspiring Thought Leaders</t>
  </si>
  <si>
    <t>Get people join channel</t>
  </si>
  <si>
    <t>LinkedIn Strategy</t>
  </si>
  <si>
    <t>Business Wisdom</t>
  </si>
  <si>
    <t>Relatable confession</t>
  </si>
  <si>
    <t>Achievement + Educational</t>
  </si>
  <si>
    <t>Relatable confession + humor</t>
  </si>
  <si>
    <t>Growth Mindset</t>
  </si>
  <si>
    <t>Inspiration + FOMO</t>
  </si>
  <si>
    <t>Holiday Promotion</t>
  </si>
  <si>
    <t>Relatable emotion + curiosity</t>
  </si>
  <si>
    <t>Direct response</t>
  </si>
  <si>
    <t>Strong</t>
  </si>
  <si>
    <t>Creation + Opportunity</t>
  </si>
  <si>
    <t>Seasonal Warmth</t>
  </si>
  <si>
    <t>Raunak Rangwal</t>
  </si>
  <si>
    <t>https://www.linkedin.com/in/raunak-rangwal-b245921b1/</t>
  </si>
  <si>
    <t>Aspiring Leaders &amp; Professionals</t>
  </si>
  <si>
    <t>Business Founders</t>
  </si>
  <si>
    <t>Event Organizers</t>
  </si>
  <si>
    <t>Insight-driven + curiosity</t>
  </si>
  <si>
    <t>Direct purchase</t>
  </si>
  <si>
    <t>Creative Thinking</t>
  </si>
  <si>
    <t xml:space="preserve">Curiosity + Inspiration </t>
  </si>
  <si>
    <t>Authority + Relevance</t>
  </si>
  <si>
    <t>Listen / Follow</t>
  </si>
  <si>
    <t>Drive podcast listens</t>
  </si>
  <si>
    <t>Leadership Insight</t>
  </si>
  <si>
    <t>Nostalgia + Authority</t>
  </si>
  <si>
    <t>Mentorship Gratitude</t>
  </si>
  <si>
    <t>Appreciation + Nostalgia</t>
  </si>
  <si>
    <t>Authority + Social Proof</t>
  </si>
  <si>
    <t>Leadership Credibility</t>
  </si>
  <si>
    <t>Solopreneurs &amp; Coaches</t>
  </si>
  <si>
    <t>Cancer Survivors</t>
  </si>
  <si>
    <t>Health Advocates</t>
  </si>
  <si>
    <t>Community</t>
  </si>
  <si>
    <t>Employee Engagement</t>
  </si>
  <si>
    <t>Relatable + Purpose-driven</t>
  </si>
  <si>
    <t>Community Service</t>
  </si>
  <si>
    <t>Inspiration + Gratitude</t>
  </si>
  <si>
    <t>Tribute</t>
  </si>
  <si>
    <t>Emotional / Relatable</t>
  </si>
  <si>
    <t>Legacy Inspiration</t>
  </si>
  <si>
    <t>Nostalgia + Inspiration</t>
  </si>
  <si>
    <t>Festival Greeting</t>
  </si>
  <si>
    <t>Lifestyle</t>
  </si>
  <si>
    <t>Relatable + Emotional</t>
  </si>
  <si>
    <t>Gratitude Resilience</t>
  </si>
  <si>
    <t>Hope + Joy</t>
  </si>
  <si>
    <t>Resilience</t>
  </si>
  <si>
    <t>Encourage reflection</t>
  </si>
  <si>
    <t>Personal story</t>
  </si>
  <si>
    <t xml:space="preserve">Personal Growth </t>
  </si>
  <si>
    <t>Senior &amp; Mid-Level Leaders</t>
  </si>
  <si>
    <t>Women Professionals</t>
  </si>
  <si>
    <t>HRs</t>
  </si>
  <si>
    <t>Reflective CTA</t>
  </si>
  <si>
    <t>Drive Comments</t>
  </si>
  <si>
    <t>Self-Leadership Activation</t>
  </si>
  <si>
    <t>Self Leadership</t>
  </si>
  <si>
    <t>Women Leadership</t>
  </si>
  <si>
    <t>Emotional Shock</t>
  </si>
  <si>
    <t>Feminine Power</t>
  </si>
  <si>
    <t>Event Reflection</t>
  </si>
  <si>
    <t>Professional Community</t>
  </si>
  <si>
    <t>Authority + Emotional Elevation</t>
  </si>
  <si>
    <t>Service Leadership</t>
  </si>
  <si>
    <t>Admiration</t>
  </si>
  <si>
    <t>CXOs</t>
  </si>
  <si>
    <t>Senior Leadership</t>
  </si>
  <si>
    <t>Mid-Level Managers</t>
  </si>
  <si>
    <t>Proffesional Communities</t>
  </si>
  <si>
    <t>Belief-Based Insight</t>
  </si>
  <si>
    <t>Blessing-Based CTA</t>
  </si>
  <si>
    <t>Strengthen emotional connection</t>
  </si>
  <si>
    <t>Holistic Education</t>
  </si>
  <si>
    <t>Youth Development</t>
  </si>
  <si>
    <t>Emotional Memory + Authority</t>
  </si>
  <si>
    <t>Strengthen Relationships</t>
  </si>
  <si>
    <t>Experiential Learning</t>
  </si>
  <si>
    <t>Alumni Leadership</t>
  </si>
  <si>
    <t>Honor + Humility</t>
  </si>
  <si>
    <t>Community Affirmation</t>
  </si>
  <si>
    <t>Strengthen credibility</t>
  </si>
  <si>
    <t>Legacy Leadership</t>
  </si>
  <si>
    <t>Prestige + Gratitude</t>
  </si>
  <si>
    <t>Value Reinforcement</t>
  </si>
  <si>
    <t>Reinforce leadership</t>
  </si>
  <si>
    <t>Honor</t>
  </si>
  <si>
    <t>Mid-Level Professionals</t>
  </si>
  <si>
    <t>Educators, Trainers &amp; Coaches</t>
  </si>
  <si>
    <t>Curiosity-based Hook</t>
  </si>
  <si>
    <t>Self-reflection CTA</t>
  </si>
  <si>
    <t>Mindful awareness</t>
  </si>
  <si>
    <t>Conscious Leadership</t>
  </si>
  <si>
    <t>Clarity + Calm Reflection</t>
  </si>
  <si>
    <t>Experiential Storytelling</t>
  </si>
  <si>
    <t>Narrative Curiosity Hook</t>
  </si>
  <si>
    <t>Reflective Question CTA</t>
  </si>
  <si>
    <t>Mindset awareness</t>
  </si>
  <si>
    <t>Embodied Resilience</t>
  </si>
  <si>
    <t xml:space="preserve"> Thought Leadership</t>
  </si>
  <si>
    <t>Authority Wisdom Hook</t>
  </si>
  <si>
    <t>Conscious Surrender</t>
  </si>
  <si>
    <t>Calm + Trust</t>
  </si>
  <si>
    <t>Curiosity + Relatability Hook</t>
  </si>
  <si>
    <t>Coach Presence</t>
  </si>
  <si>
    <t>Relief + Validation</t>
  </si>
  <si>
    <t>Senior Professionals</t>
  </si>
  <si>
    <t>Question-based Hook</t>
  </si>
  <si>
    <t>Direct / Profile Follow</t>
  </si>
  <si>
    <t>Increase followers</t>
  </si>
  <si>
    <t>Curiosity / Aspiration</t>
  </si>
  <si>
    <t>Choice Empowerment</t>
  </si>
  <si>
    <t>Self-belief / Reflection</t>
  </si>
  <si>
    <t>Professional Advice</t>
  </si>
  <si>
    <t>Conditional Statement</t>
  </si>
  <si>
    <t>Passive</t>
  </si>
  <si>
    <t>Engagement / Awareness</t>
  </si>
  <si>
    <t>Workplace Humor</t>
  </si>
  <si>
    <t>Subtle Humor</t>
  </si>
  <si>
    <t>Motivational Post</t>
  </si>
  <si>
    <t>Metaphorical</t>
  </si>
  <si>
    <t>Encourage interaction</t>
  </si>
  <si>
    <t>Uniqueness</t>
  </si>
  <si>
    <t>Women on Sabbatical</t>
  </si>
  <si>
    <t>Metaphor-based Insight</t>
  </si>
  <si>
    <t>Dual CTA – Engagement + Follow</t>
  </si>
  <si>
    <t>Reflective Leadership</t>
  </si>
  <si>
    <t>Contrarian Insight</t>
  </si>
  <si>
    <t>Reflection Question + Follow</t>
  </si>
  <si>
    <t>Engagement + Audience Growth</t>
  </si>
  <si>
    <t>Gentle Growth</t>
  </si>
  <si>
    <t>Relief / Self-acceptance / Calm</t>
  </si>
  <si>
    <t>Pattern-based Insight</t>
  </si>
  <si>
    <t>Engagement + Follow</t>
  </si>
  <si>
    <t>Conversation + Audience Growth</t>
  </si>
  <si>
    <t>Failure Reframe</t>
  </si>
  <si>
    <t>Validation / Resilience / Hope</t>
  </si>
  <si>
    <t>Image + Text Post</t>
  </si>
  <si>
    <t>Contrarian Reframe</t>
  </si>
  <si>
    <t>Consultants</t>
  </si>
  <si>
    <t>Corporate Organizations</t>
  </si>
  <si>
    <t>Metaphorical Question</t>
  </si>
  <si>
    <t>Connection CTA + Follow</t>
  </si>
  <si>
    <t>Leadership Transformation</t>
  </si>
  <si>
    <t>Resilience / Hope / Courage</t>
  </si>
  <si>
    <t>Status Update</t>
  </si>
  <si>
    <t>Bold Declaration</t>
  </si>
  <si>
    <t>Confident Intent</t>
  </si>
  <si>
    <t>Optimism / Certainty</t>
  </si>
  <si>
    <t>Insight / Contrarian Truth</t>
  </si>
  <si>
    <t>Quiet Competence</t>
  </si>
  <si>
    <t>Clarity / Validation / Trust</t>
  </si>
  <si>
    <t>Emotional Tribute</t>
  </si>
  <si>
    <t>Silent Courage</t>
  </si>
  <si>
    <t>Pride / Respect / Gratitude</t>
  </si>
  <si>
    <t>Technology Conference</t>
  </si>
  <si>
    <t>Future-focused Statement</t>
  </si>
  <si>
    <t>Direct</t>
  </si>
  <si>
    <t>Cyber Authority</t>
  </si>
  <si>
    <t>Professional Aspiration</t>
  </si>
  <si>
    <t>Podcast Promotion</t>
  </si>
  <si>
    <t>Cybersecurity</t>
  </si>
  <si>
    <t>Compliance Reality</t>
  </si>
  <si>
    <t>Clarity / Authority / Relevance</t>
  </si>
  <si>
    <t>Event Update Post</t>
  </si>
  <si>
    <t>Industry Showcase</t>
  </si>
  <si>
    <t>Industry Authority</t>
  </si>
  <si>
    <t>Credibility / Trust / FOMO</t>
  </si>
  <si>
    <t>Industry Event</t>
  </si>
  <si>
    <t>Authority + Scale Highlight</t>
  </si>
  <si>
    <t>Event Authority</t>
  </si>
  <si>
    <t>FOMO / Professional Aspiration</t>
  </si>
  <si>
    <t>Scaling Tech Companies</t>
  </si>
  <si>
    <t>Enterprises</t>
  </si>
  <si>
    <t>Global Organizations</t>
  </si>
  <si>
    <t>Executives Seeking Mentorship</t>
  </si>
  <si>
    <t>Business Leaders</t>
  </si>
  <si>
    <t>Career Switchers</t>
  </si>
  <si>
    <t>Text</t>
  </si>
  <si>
    <t>AI Strategy</t>
  </si>
  <si>
    <t>Increase Post Engagement</t>
  </si>
  <si>
    <t>AI Depth</t>
  </si>
  <si>
    <t>Intellectual Superiority</t>
  </si>
  <si>
    <t>Experience-based Authority</t>
  </si>
  <si>
    <t>Marketing Operations</t>
  </si>
  <si>
    <t>Curiosity Hook</t>
  </si>
  <si>
    <t>Soft Conversion CTA</t>
  </si>
  <si>
    <r>
      <t xml:space="preserve">Start </t>
    </r>
    <r>
      <rPr>
        <b/>
        <sz val="11"/>
        <color theme="1"/>
        <rFont val="Calibri"/>
        <family val="2"/>
        <scheme val="minor"/>
      </rPr>
      <t>1:1 conversations</t>
    </r>
  </si>
  <si>
    <t>AI Adoption</t>
  </si>
  <si>
    <t>Simplicity + Relief</t>
  </si>
  <si>
    <t>Upskilling</t>
  </si>
  <si>
    <t>Achievement-Based Hook</t>
  </si>
  <si>
    <t>Skill Validation</t>
  </si>
  <si>
    <t>Pride &amp; Credibility</t>
  </si>
  <si>
    <t>Procurement Leaders</t>
  </si>
  <si>
    <t>Heads of Sourcing</t>
  </si>
  <si>
    <t>Retail Experience Leaders</t>
  </si>
  <si>
    <t>Project Insight</t>
  </si>
  <si>
    <t>Brand Experience</t>
  </si>
  <si>
    <r>
      <t xml:space="preserve">Encourage </t>
    </r>
    <r>
      <rPr>
        <b/>
        <sz val="11"/>
        <color theme="1"/>
        <rFont val="Calibri"/>
        <family val="2"/>
        <scheme val="minor"/>
      </rPr>
      <t xml:space="preserve">comments </t>
    </r>
  </si>
  <si>
    <t>Design Intent</t>
  </si>
  <si>
    <t>Quiet Delight &amp; Respect</t>
  </si>
  <si>
    <t>Project Showcase</t>
  </si>
  <si>
    <t>Retail Branding</t>
  </si>
  <si>
    <t>Brand Recall</t>
  </si>
  <si>
    <t>Delight</t>
  </si>
  <si>
    <t>Reframing</t>
  </si>
  <si>
    <t>Quite Readiness</t>
  </si>
  <si>
    <t>Calm Confidence</t>
  </si>
  <si>
    <t>Calm Motivation</t>
  </si>
  <si>
    <t>Consistent Growth</t>
  </si>
  <si>
    <t>Job-Seeking Professionals</t>
  </si>
  <si>
    <t>High-Ambition Professionals</t>
  </si>
  <si>
    <t>Busy Professionals</t>
  </si>
  <si>
    <t>Reflective Hook</t>
  </si>
  <si>
    <t>Intentional Growth</t>
  </si>
  <si>
    <t>Gratitude &amp; Calm Assurance</t>
  </si>
  <si>
    <t>Confession Hook</t>
  </si>
  <si>
    <t>Quiet Preparation</t>
  </si>
  <si>
    <t>Relief &amp; Validation</t>
  </si>
  <si>
    <t>Experience Share</t>
  </si>
  <si>
    <t>Context Hook</t>
  </si>
  <si>
    <t>Professional Readiness</t>
  </si>
  <si>
    <t>Pride &amp; Aspiration</t>
  </si>
  <si>
    <t>Success Story</t>
  </si>
  <si>
    <t>Motivational CTA</t>
  </si>
  <si>
    <t>Reinforce proactive thinking</t>
  </si>
  <si>
    <t>Financial Transformation</t>
  </si>
  <si>
    <t>Pride + Empowerment</t>
  </si>
  <si>
    <t>Discipline Motivation</t>
  </si>
  <si>
    <t>Inspiration + Warmth</t>
  </si>
  <si>
    <t>Engagement Prompt</t>
  </si>
  <si>
    <r>
      <t xml:space="preserve">Spark </t>
    </r>
    <r>
      <rPr>
        <b/>
        <sz val="11"/>
        <color theme="1"/>
        <rFont val="Calibri"/>
        <family val="2"/>
        <scheme val="minor"/>
      </rPr>
      <t xml:space="preserve">engagement </t>
    </r>
  </si>
  <si>
    <t>Culture Alignment</t>
  </si>
  <si>
    <t>Reflection</t>
  </si>
  <si>
    <t>Human Leadership Post</t>
  </si>
  <si>
    <t>Humor Hook</t>
  </si>
  <si>
    <t>Team Connection</t>
  </si>
  <si>
    <t>Warmth + Appreciation</t>
  </si>
  <si>
    <t xml:space="preserve">Personal Story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</si>
</sst>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  <font>
      <sz val="10"/>
      <color rgb="FF0D0D0D"/>
      <name val="Segoe UI"/>
      <family val="2"/>
    </font>
    <font>
      <sz val="11"/>
      <name val="Calibri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/>
    </xf>
    <xf numFmtId="0" fontId="3" fillId="0" borderId="0" xfId="1" applyAlignment="1">
      <alignment horizontal="left" vertical="top"/>
    </xf>
    <xf numFmtId="0" fontId="0" fillId="0" borderId="0" xfId="0" applyAlignment="1">
      <alignment horizontal="left" vertical="top" wrapText="1"/>
    </xf>
    <xf numFmtId="14" fontId="0" fillId="0" borderId="0" xfId="0" applyNumberFormat="1" applyAlignment="1">
      <alignment horizontal="left" vertical="top"/>
    </xf>
    <xf numFmtId="0" fontId="2" fillId="0" borderId="0" xfId="0" applyFont="1"/>
    <xf numFmtId="0" fontId="4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3" fillId="0" borderId="0" xfId="1"/>
    <xf numFmtId="0" fontId="4" fillId="0" borderId="0" xfId="0" applyFont="1" applyAlignment="1">
      <alignment horizontal="left"/>
    </xf>
    <xf numFmtId="0" fontId="5" fillId="0" borderId="0" xfId="0" applyFont="1"/>
    <xf numFmtId="14" fontId="1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  <xf numFmtId="1" fontId="4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0" fontId="6" fillId="0" borderId="0" xfId="0" applyFont="1" applyAlignment="1">
      <alignment horizontal="left"/>
    </xf>
    <xf numFmtId="1" fontId="0" fillId="0" borderId="0" xfId="0" applyNumberFormat="1" applyAlignment="1">
      <alignment horizontal="left" vertical="top"/>
    </xf>
    <xf numFmtId="1" fontId="0" fillId="0" borderId="0" xfId="0" applyNumberFormat="1"/>
    <xf numFmtId="1" fontId="0" fillId="0" borderId="0" xfId="0" applyNumberFormat="1" applyAlignment="1">
      <alignment vertical="top"/>
    </xf>
    <xf numFmtId="1" fontId="1" fillId="0" borderId="0" xfId="0" applyNumberFormat="1" applyFont="1" applyAlignment="1">
      <alignment horizontal="left"/>
    </xf>
    <xf numFmtId="0" fontId="0" fillId="0" borderId="0" xfId="0" applyAlignment="1">
      <alignment vertical="top" wrapText="1"/>
    </xf>
    <xf numFmtId="1" fontId="1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/>
    <xf numFmtId="0" fontId="0" fillId="0" borderId="0" xfId="0" applyAlignment="1">
      <alignment vertical="center" wrapText="1"/>
    </xf>
    <xf numFmtId="0" fontId="3" fillId="0" borderId="0" xfId="1" applyAlignment="1">
      <alignment horizontal="left" vertical="top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inkedin.com/posts/monicaverma_cyberthings-artificialintelligence-cybersecurity-activity-7404949030557859840-hq5T?utm_source=share&amp;utm_medium=member_desktop&amp;rcm=ACoAAEb3E9gBwsuBIEB-qX33QBAAeuXV38R4wso" TargetMode="External"/><Relationship Id="rId299" Type="http://schemas.openxmlformats.org/officeDocument/2006/relationships/hyperlink" Target="https://www.linkedin.com/feed/update/urn:li:activity:7308344112015888385?utm_source=share&amp;utm_medium=member_desktop&amp;rcm=ACoAAEb3E9gBwsuBIEB-qX33QBAAeuXV38R4wso" TargetMode="External"/><Relationship Id="rId21" Type="http://schemas.openxmlformats.org/officeDocument/2006/relationships/hyperlink" Target="https://www.linkedin.com/posts/shoaibahmed21_how-to-make-me-want-to-curl-into-a-ball-and-activity-7406987776312713217-lJU0?utm_source=share&amp;utm_medium=member_desktop&amp;rcm=ACoAAEb3E9gBwsuBIEB-qX33QBAAeuXV38R4wso" TargetMode="External"/><Relationship Id="rId63" Type="http://schemas.openxmlformats.org/officeDocument/2006/relationships/hyperlink" Target="https://www.linkedin.com/posts/arteevedula_thrivewithartee-emotionalintelligence-innerpower-activity-7406412496414306304-utcR?utm_source=share&amp;utm_medium=member_desktop&amp;rcm=ACoAAEb3E9gBwsuBIEB-qX33QBAAeuXV38R4wso" TargetMode="External"/><Relationship Id="rId159" Type="http://schemas.openxmlformats.org/officeDocument/2006/relationships/hyperlink" Target="https://www.linkedin.com/in/lukehaythorpe/" TargetMode="External"/><Relationship Id="rId324" Type="http://schemas.openxmlformats.org/officeDocument/2006/relationships/hyperlink" Target="https://www.linkedin.com/posts/miniorange_minitalks-podcast-dpdp-digital-identity-activity-7410224861849145345-32P2?utm_source=share&amp;utm_medium=member_desktop&amp;rcm=ACoAAEb3E9gBwsuBIEB-qX33QBAAeuXV38R4wso" TargetMode="External"/><Relationship Id="rId170" Type="http://schemas.openxmlformats.org/officeDocument/2006/relationships/hyperlink" Target="https://www.linkedin.com/posts/sewchoinkowski_when-you-change-the-world-around-you-changes-activity-7407064217666609152-IUpX?utm_source=share&amp;utm_medium=member_desktop&amp;rcm=ACoAAEb3E9gBwsuBIEB-qX33QBAAeuXV38R4wso" TargetMode="External"/><Relationship Id="rId226" Type="http://schemas.openxmlformats.org/officeDocument/2006/relationships/hyperlink" Target="https://www.linkedin.com/posts/pratik-patel-d21_people-going-viral-is-what-makes-you-an-activity-7406730596254830610-jWGl?utm_source=share&amp;utm_medium=member_desktop&amp;rcm=ACoAAEb3E9gBwsuBIEB-qX33QBAAeuXV38R4wso" TargetMode="External"/><Relationship Id="rId268" Type="http://schemas.openxmlformats.org/officeDocument/2006/relationships/hyperlink" Target="https://www.linkedin.com/posts/kasheshchhabbria_socialmedia-mindset-mentalhealthawareness-activity-6785094832835690496-APv5?utm_source=share&amp;utm_medium=member_desktop&amp;rcm=ACoAAEb3E9gBwsuBIEB-qX33QBAAeuXV38R4wso" TargetMode="External"/><Relationship Id="rId32" Type="http://schemas.openxmlformats.org/officeDocument/2006/relationships/hyperlink" Target="https://www.linkedin.com/in/arteevedula/" TargetMode="External"/><Relationship Id="rId74" Type="http://schemas.openxmlformats.org/officeDocument/2006/relationships/hyperlink" Target="https://www.linkedin.com/posts/edward-darling_three-nervous-speakers-get-asked-to-give-activity-7406605221457514496-sKM9?utm_source=share&amp;utm_medium=member_desktop&amp;rcm=ACoAAEb3E9gBwsuBIEB-qX33QBAAeuXV38R4wso" TargetMode="External"/><Relationship Id="rId128" Type="http://schemas.openxmlformats.org/officeDocument/2006/relationships/hyperlink" Target="https://www.linkedin.com/in/tomcobin-dynamicoach/" TargetMode="External"/><Relationship Id="rId335" Type="http://schemas.openxmlformats.org/officeDocument/2006/relationships/hyperlink" Target="https://www.linkedin.com/posts/sunny-thakur-lakshya-signages_most-people-think-zoo-projects-are-about-activity-7414523728887361536-zLiP?utm_source=share&amp;utm_medium=member_desktop&amp;rcm=ACoAAEb3E9gBwsuBIEB-qX33QBAAeuXV38R4wso" TargetMode="External"/><Relationship Id="rId5" Type="http://schemas.openxmlformats.org/officeDocument/2006/relationships/hyperlink" Target="https://www.linkedin.com/posts/funmifatonaayowole_thefunmiayowole-yoursoulcoach-totalwellnesschampion-activity-7399477049230475265-azjI?utm_source=share&amp;utm_medium=member_desktop&amp;rcm=ACoAAEb3E9gBwsuBIEB-qX33QBAAeuXV38R4wso" TargetMode="External"/><Relationship Id="rId181" Type="http://schemas.openxmlformats.org/officeDocument/2006/relationships/hyperlink" Target="https://www.linkedin.com/posts/kellybender17_game-job-siteslinks-communities-activity-7409403228620009472-tM5P?utm_source=share&amp;utm_medium=member_desktop&amp;rcm=ACoAAEb3E9gBwsuBIEB-qX33QBAAeuXV38R4wso" TargetMode="External"/><Relationship Id="rId237" Type="http://schemas.openxmlformats.org/officeDocument/2006/relationships/hyperlink" Target="https://www.linkedin.com/in/georgiastjohnsmith/" TargetMode="External"/><Relationship Id="rId279" Type="http://schemas.openxmlformats.org/officeDocument/2006/relationships/hyperlink" Target="https://www.linkedin.com/posts/lifecoachdrsalonisingh_businessmastery-coachingsuccess-soulful-activity-7411978849762185216-Qltr?utm_source=share&amp;utm_medium=member_desktop&amp;rcm=ACoAAEb3E9gBwsuBIEB-qX33QBAAeuXV38R4wso" TargetMode="External"/><Relationship Id="rId43" Type="http://schemas.openxmlformats.org/officeDocument/2006/relationships/hyperlink" Target="https://www.linkedin.com/posts/saint-james-iced-tea_saintjamesicedtea-juicycouture-juicypeach-activity-7375923457517166593-cdoN?utm_source=share&amp;utm_medium=member_desktop&amp;rcm=ACoAAEb3E9gBwsuBIEB-qX33QBAAeuXV38R4wso" TargetMode="External"/><Relationship Id="rId139" Type="http://schemas.openxmlformats.org/officeDocument/2006/relationships/hyperlink" Target="https://www.linkedin.com/posts/grant-dowsett-success-mindset-coach_mindset-success-motivation-activity-7406896267211153408-NIA7?utm_source=share&amp;utm_medium=member_desktop&amp;rcm=ACoAAEb3E9gBwsuBIEB-qX33QBAAeuXV38R4wso" TargetMode="External"/><Relationship Id="rId290" Type="http://schemas.openxmlformats.org/officeDocument/2006/relationships/hyperlink" Target="https://www.linkedin.com/in/raunak-rangwal-b245921b1/" TargetMode="External"/><Relationship Id="rId304" Type="http://schemas.openxmlformats.org/officeDocument/2006/relationships/hyperlink" Target="https://www.linkedin.com/posts/winaypatil_rotary-delhiinstitute-tejas-activity-7411026422825328642-ulPy?utm_source=share&amp;utm_medium=member_desktop&amp;rcm=ACoAAEb3E9gBwsuBIEB-qX33QBAAeuXV38R4wso" TargetMode="External"/><Relationship Id="rId85" Type="http://schemas.openxmlformats.org/officeDocument/2006/relationships/hyperlink" Target="https://www.linkedin.com/posts/hollowayanthony_job-openings-dropped-from-121-million-to-activity-7404957915658489856-wVu8?utm_source=share&amp;utm_medium=member_desktop&amp;rcm=ACoAAEb3E9gBwsuBIEB-qX33QBAAeuXV38R4wso" TargetMode="External"/><Relationship Id="rId150" Type="http://schemas.openxmlformats.org/officeDocument/2006/relationships/hyperlink" Target="https://www.linkedin.com/posts/tomcobin-dynamicoach_openai-platform-activity-7399894510564184065-JdXS?utm_source=share&amp;utm_medium=member_desktop&amp;rcm=ACoAAEb3E9gBwsuBIEB-qX33QBAAeuXV38R4wso" TargetMode="External"/><Relationship Id="rId192" Type="http://schemas.openxmlformats.org/officeDocument/2006/relationships/hyperlink" Target="https://www.linkedin.com/posts/lukehaythorpe_there-is-nothing-more-painful-than-being-activity-7407748935374708737-o_4i?utm_source=share&amp;utm_medium=member_desktop&amp;rcm=ACoAAEb3E9gBwsuBIEB-qX33QBAAeuXV38R4wso" TargetMode="External"/><Relationship Id="rId206" Type="http://schemas.openxmlformats.org/officeDocument/2006/relationships/hyperlink" Target="https://www.linkedin.com/posts/drsaurabhpatil_yearinreview-activity-7407261873877925897-YgbN?utm_source=share&amp;utm_medium=member_desktop&amp;rcm=ACoAAEb3E9gBwsuBIEB-qX33QBAAeuXV38R4wso" TargetMode="External"/><Relationship Id="rId248" Type="http://schemas.openxmlformats.org/officeDocument/2006/relationships/hyperlink" Target="https://www.linkedin.com/in/sunny-thakur-lakshya-signages/" TargetMode="External"/><Relationship Id="rId12" Type="http://schemas.openxmlformats.org/officeDocument/2006/relationships/hyperlink" Target="https://www.linkedin.com/posts/shoaibahmed21_how-to-make-me-want-to-curl-into-a-ball-and-activity-7406987776312713217-lJU0?utm_source=share&amp;utm_medium=member_desktop&amp;rcm=ACoAAEb3E9gBwsuBIEB-qX33QBAAeuXV38R4wso" TargetMode="External"/><Relationship Id="rId108" Type="http://schemas.openxmlformats.org/officeDocument/2006/relationships/hyperlink" Target="https://www.linkedin.com/posts/paulrlewis1_everything-is-easier-and-better-when-youre-activity-7407703661390278656-9Omi?utm_source=share&amp;utm_medium=member_desktop&amp;rcm=ACoAAEb3E9gBwsuBIEB-qX33QBAAeuXV38R4wso" TargetMode="External"/><Relationship Id="rId315" Type="http://schemas.openxmlformats.org/officeDocument/2006/relationships/hyperlink" Target="https://www.linkedin.com/posts/sreeveniv-transformational-catalyst-self-worth-influencer_things-you-learn-about-yourself-only-when-activity-7413782426109374465-uYC_?utm_source=share&amp;utm_medium=member_desktop&amp;rcm=ACoAAEb3E9gBwsuBIEB-qX33QBAAeuXV38R4wso" TargetMode="External"/><Relationship Id="rId54" Type="http://schemas.openxmlformats.org/officeDocument/2006/relationships/hyperlink" Target="https://www.linkedin.com/posts/quiana-brown-layol_layolliving-onebraveshift-gentlegrowth-activity-7407034407838158848-iXhP?utm_source=share&amp;utm_medium=member_desktop&amp;rcm=ACoAAEb3E9gBwsuBIEB-qX33QBAAeuXV38R4wso" TargetMode="External"/><Relationship Id="rId96" Type="http://schemas.openxmlformats.org/officeDocument/2006/relationships/hyperlink" Target="https://www.linkedin.com/posts/chris-stambolidis_executivejobsearch-careers-hiring-activity-7408129071580282880-JFfW?utm_source=share&amp;utm_medium=member_desktop&amp;rcm=ACoAAEb3E9gBwsuBIEB-qX33QBAAeuXV38R4wso" TargetMode="External"/><Relationship Id="rId161" Type="http://schemas.openxmlformats.org/officeDocument/2006/relationships/hyperlink" Target="https://www.linkedin.com/in/swaimaahmad/" TargetMode="External"/><Relationship Id="rId217" Type="http://schemas.openxmlformats.org/officeDocument/2006/relationships/hyperlink" Target="https://www.linkedin.com/posts/finance-leadership-cell-dps-byc_theminimalismeffect-financeandleadershipcell-ugcPost-7391639696721747969-AKB9?utm_source=share&amp;utm_medium=member_desktop&amp;rcm=ACoAAEb3E9gBwsuBIEB-qX33QBAAeuXV38R4wso" TargetMode="External"/><Relationship Id="rId259" Type="http://schemas.openxmlformats.org/officeDocument/2006/relationships/hyperlink" Target="https://www.linkedin.com/posts/coachshwetabajaj_community-gratitude-communitybuilding-activity-7412701234014580736-FWis?utm_source=share&amp;utm_medium=member_desktop&amp;rcm=ACoAAEb3E9gBwsuBIEB-qX33QBAAeuXV38R4wso" TargetMode="External"/><Relationship Id="rId23" Type="http://schemas.openxmlformats.org/officeDocument/2006/relationships/hyperlink" Target="https://www.linkedin.com/posts/shoaibahmed21_how-to-make-me-want-to-curl-into-a-ball-and-activity-7406987776312713217-lJU0?utm_source=share&amp;utm_medium=member_desktop&amp;rcm=ACoAAEb3E9gBwsuBIEB-qX33QBAAeuXV38R4wso" TargetMode="External"/><Relationship Id="rId119" Type="http://schemas.openxmlformats.org/officeDocument/2006/relationships/hyperlink" Target="https://www.linkedin.com/posts/ericalpin_growth-reflection-inthemeantime-activity-7407814113067876352-CJXO?utm_source=share&amp;utm_medium=member_desktop&amp;rcm=ACoAAEb3E9gBwsuBIEB-qX33QBAAeuXV38R4wso" TargetMode="External"/><Relationship Id="rId270" Type="http://schemas.openxmlformats.org/officeDocument/2006/relationships/hyperlink" Target="https://www.linkedin.com/posts/ravi-bodani-b2749380_nlp-neurolinguisticprogramming-nlppune-activity-7411368007362596864-eG0e?utm_source=share&amp;utm_medium=member_desktop&amp;rcm=ACoAAEb3E9gBwsuBIEB-qX33QBAAeuXV38R4wso" TargetMode="External"/><Relationship Id="rId326" Type="http://schemas.openxmlformats.org/officeDocument/2006/relationships/hyperlink" Target="https://www.linkedin.com/posts/gaurav-bansod-phd-03704535_identityshieldsummit2026-agenda-miniorange-activity-7407777967784923136-dECZ?utm_source=share&amp;utm_medium=member_desktop&amp;rcm=ACoAAEb3E9gBwsuBIEB-qX33QBAAeuXV38R4wso" TargetMode="External"/><Relationship Id="rId65" Type="http://schemas.openxmlformats.org/officeDocument/2006/relationships/hyperlink" Target="https://www.linkedin.com/posts/randybelham_tiger-never-thought-he-needed-help-and-activity-7407467349232226304-b9rk?utm_source=share&amp;utm_medium=member_desktop&amp;rcm=ACoAAEb3E9gBwsuBIEB-qX33QBAAeuXV38R4wso" TargetMode="External"/><Relationship Id="rId130" Type="http://schemas.openxmlformats.org/officeDocument/2006/relationships/hyperlink" Target="https://www.linkedin.com/posts/brett-r-huntington_christmas-came-early-this-year-and-im-going-activity-7407823103277330432-wU9r?utm_source=share&amp;utm_medium=member_desktop&amp;rcm=ACoAAEb3E9gBwsuBIEB-qX33QBAAeuXV38R4wso" TargetMode="External"/><Relationship Id="rId172" Type="http://schemas.openxmlformats.org/officeDocument/2006/relationships/hyperlink" Target="https://www.linkedin.com/posts/sewchoinkowski_the-real-reason-top-managers-avoid-burnout-activity-7405231102950518785-74KN?utm_source=share&amp;utm_medium=member_desktop&amp;rcm=ACoAAEb3E9gBwsuBIEB-qX33QBAAeuXV38R4wso" TargetMode="External"/><Relationship Id="rId228" Type="http://schemas.openxmlformats.org/officeDocument/2006/relationships/hyperlink" Target="https://www.linkedin.com/in/jainsanjay123/" TargetMode="External"/><Relationship Id="rId281" Type="http://schemas.openxmlformats.org/officeDocument/2006/relationships/hyperlink" Target="https://www.linkedin.com/posts/lifecoachdrsalonisingh_resilience-gratitude-cancerjourney-activity-7411393775220187136-W6Sf?utm_source=share&amp;utm_medium=member_desktop&amp;rcm=ACoAAEb3E9gBwsuBIEB-qX33QBAAeuXV38R4wso" TargetMode="External"/><Relationship Id="rId337" Type="http://schemas.openxmlformats.org/officeDocument/2006/relationships/hyperlink" Target="https://www.linkedin.com/posts/sunny-thakur-lakshya-signages_leadership-entrepreneurship-businessgrowth-activity-7413799008256622592-ieO2?utm_source=share&amp;utm_medium=member_desktop&amp;rcm=ACoAAEb3E9gBwsuBIEB-qX33QBAAeuXV38R4wso" TargetMode="External"/><Relationship Id="rId34" Type="http://schemas.openxmlformats.org/officeDocument/2006/relationships/hyperlink" Target="https://www.linkedin.com/posts/mridulapat_cafaezofjoy-resilience-leadership-activity-7405663720112017409-G8EH?utm_source=share&amp;utm_medium=member_desktop&amp;rcm=ACoAAEb3E9gBwsuBIEB-qX33QBAAeuXV38R4wso" TargetMode="External"/><Relationship Id="rId76" Type="http://schemas.openxmlformats.org/officeDocument/2006/relationships/hyperlink" Target="https://www.linkedin.com/posts/edward-darling_will-exercising-before-a-speech-reduce-your-activity-7404805368091930624-GJMP?utm_source=share&amp;utm_medium=member_desktop&amp;rcm=ACoAAEb3E9gBwsuBIEB-qX33QBAAeuXV38R4wso" TargetMode="External"/><Relationship Id="rId141" Type="http://schemas.openxmlformats.org/officeDocument/2006/relationships/hyperlink" Target="https://www.linkedin.com/posts/wcl21_these-3-ceos-started-at-the-bottom-now-they-activity-7408988176482095104-2zow?utm_source=share&amp;utm_medium=member_desktop&amp;rcm=ACoAAEb3E9gBwsuBIEB-qX33QBAAeuXV38R4wso" TargetMode="External"/><Relationship Id="rId7" Type="http://schemas.openxmlformats.org/officeDocument/2006/relationships/hyperlink" Target="https://www.linkedin.com/posts/shoaibahmed21_most-people-optimising-their-47-step-activity-7406607822508994560-VRHR?utm_source=share&amp;utm_medium=member_desktop&amp;rcm=ACoAAEb3E9gBwsuBIEB-qX33QBAAeuXV38R4wso" TargetMode="External"/><Relationship Id="rId183" Type="http://schemas.openxmlformats.org/officeDocument/2006/relationships/hyperlink" Target="https://www.linkedin.com/posts/amirsatvat_annual-report-to-all-community-members-this-activity-7409344239450501121-GwTd?utm_source=share&amp;utm_medium=member_desktop&amp;rcm=ACoAAEb3E9gBwsuBIEB-qX33QBAAeuXV38R4wso" TargetMode="External"/><Relationship Id="rId239" Type="http://schemas.openxmlformats.org/officeDocument/2006/relationships/hyperlink" Target="https://www.linkedin.com/in/roli-kesarwani/" TargetMode="External"/><Relationship Id="rId250" Type="http://schemas.openxmlformats.org/officeDocument/2006/relationships/hyperlink" Target="https://www.linkedin.com/posts/jainsanjay123_motivation-inspiration-hustle-activity-7413086430534623232-qams?utm_source=share&amp;utm_medium=member_desktop&amp;rcm=ACoAAEb3E9gBwsuBIEB-qX33QBAAeuXV38R4wso" TargetMode="External"/><Relationship Id="rId292" Type="http://schemas.openxmlformats.org/officeDocument/2006/relationships/hyperlink" Target="https://www.linkedin.com/posts/passionatekomal_asymmetricthinking-thinkdifferent-rangwalresilience-ugcPost-7411726421678694400-O-ps?utm_source=share&amp;utm_medium=member_desktop&amp;rcm=ACoAAEb3E9gBwsuBIEB-qX33QBAAeuXV38R4wso" TargetMode="External"/><Relationship Id="rId306" Type="http://schemas.openxmlformats.org/officeDocument/2006/relationships/hyperlink" Target="https://www.linkedin.com/posts/winaypatil_sainikschoolbijapur-ajeets-whistlingwoodzs-activity-7410270084428075008-cziv?utm_source=share&amp;utm_medium=member_desktop&amp;rcm=ACoAAEb3E9gBwsuBIEB-qX33QBAAeuXV38R4wso" TargetMode="External"/><Relationship Id="rId45" Type="http://schemas.openxmlformats.org/officeDocument/2006/relationships/hyperlink" Target="https://www.linkedin.com/posts/activity-7338963766820188161-tbHV?utm_source=share&amp;utm_medium=member_desktop&amp;rcm=ACoAAEb3E9gBwsuBIEB-qX33QBAAeuXV38R4wso" TargetMode="External"/><Relationship Id="rId87" Type="http://schemas.openxmlformats.org/officeDocument/2006/relationships/hyperlink" Target="https://www.linkedin.com/posts/hollowayanthony_i-miss-having-fun-interesting-conversations-activity-7396339590762110976-QU8M?utm_source=share&amp;utm_medium=member_desktop&amp;rcm=ACoAAEb3E9gBwsuBIEB-qX33QBAAeuXV38R4wso" TargetMode="External"/><Relationship Id="rId110" Type="http://schemas.openxmlformats.org/officeDocument/2006/relationships/hyperlink" Target="https://www.linkedin.com/posts/paulrlewis1_survivingwinterappeal-activity-7397945254219366400-VFuu?utm_source=share&amp;utm_medium=member_desktop&amp;rcm=ACoAAEb3E9gBwsuBIEB-qX33QBAAeuXV38R4wso" TargetMode="External"/><Relationship Id="rId152" Type="http://schemas.openxmlformats.org/officeDocument/2006/relationships/hyperlink" Target="https://www.linkedin.com/posts/tomcobin-dynamicoach_cyclic-sighing-can-help-breathe-away-anxiety-activity-7399525604447985665-Jugg?utm_source=share&amp;utm_medium=member_desktop&amp;rcm=ACoAAEb3E9gBwsuBIEB-qX33QBAAeuXV38R4wso" TargetMode="External"/><Relationship Id="rId194" Type="http://schemas.openxmlformats.org/officeDocument/2006/relationships/hyperlink" Target="https://www.linkedin.com/posts/abigail-victoriathomas_hello-everyone-a-few-months-ago-i-shared-activity-7396593085578858496-mXgb?utm_source=share&amp;utm_medium=member_desktop&amp;rcm=ACoAAEb3E9gBwsuBIEB-qX33QBAAeuXV38R4wso" TargetMode="External"/><Relationship Id="rId208" Type="http://schemas.openxmlformats.org/officeDocument/2006/relationships/hyperlink" Target="https://www.linkedin.com/posts/drsaurabhpatil_loneliness-in-men-doesnt-always-look-like-activity-7406584512110923776-f5Xz?utm_source=share&amp;utm_medium=member_desktop&amp;rcm=ACoAAEb3E9gBwsuBIEB-qX33QBAAeuXV38R4wso" TargetMode="External"/><Relationship Id="rId240" Type="http://schemas.openxmlformats.org/officeDocument/2006/relationships/hyperlink" Target="http://linkedin.com/in/winaypatil/" TargetMode="External"/><Relationship Id="rId261" Type="http://schemas.openxmlformats.org/officeDocument/2006/relationships/hyperlink" Target="https://www.linkedin.com/posts/coachshwetabajaj_merrychristmas-2025reflections-bringon2026-activity-7409800291618828288-kF8q?utm_source=share&amp;utm_medium=member_desktop&amp;rcm=ACoAAEb3E9gBwsuBIEB-qX33QBAAeuXV38R4wso" TargetMode="External"/><Relationship Id="rId14" Type="http://schemas.openxmlformats.org/officeDocument/2006/relationships/hyperlink" Target="https://www.linkedin.com/posts/shoaibahmed21_how-to-make-me-want-to-curl-into-a-ball-and-activity-7406987776312713217-lJU0?utm_source=share&amp;utm_medium=member_desktop&amp;rcm=ACoAAEb3E9gBwsuBIEB-qX33QBAAeuXV38R4wso" TargetMode="External"/><Relationship Id="rId35" Type="http://schemas.openxmlformats.org/officeDocument/2006/relationships/hyperlink" Target="https://www.linkedin.com/posts/mridulapat_an-ai-actor-is-stirring-big-feelings-and-activity-7406733372783239168-HTaA?utm_source=share&amp;utm_medium=member_desktop&amp;rcm=ACoAAEb3E9gBwsuBIEB-qX33QBAAeuXV38R4wso" TargetMode="External"/><Relationship Id="rId56" Type="http://schemas.openxmlformats.org/officeDocument/2006/relationships/hyperlink" Target="https://www.linkedin.com/posts/shafer-stedron-4b7a19263_seeing-parenting-as-a-mirror-what-our-children-activity-7407009739135475712-kh95?utm_source=share&amp;utm_medium=member_desktop&amp;rcm=ACoAAEb3E9gBwsuBIEB-qX33QBAAeuXV38R4wso" TargetMode="External"/><Relationship Id="rId77" Type="http://schemas.openxmlformats.org/officeDocument/2006/relationships/hyperlink" Target="https://www.linkedin.com/posts/edward-darling_im-in-wonderful-woking-today-famous-home-activity-7402284791905017856-bFxC?utm_source=share&amp;utm_medium=member_desktop&amp;rcm=ACoAAEb3E9gBwsuBIEB-qX33QBAAeuXV38R4wso" TargetMode="External"/><Relationship Id="rId100" Type="http://schemas.openxmlformats.org/officeDocument/2006/relationships/hyperlink" Target="https://www.linkedin.com/in/anamarialopezcaldwell/" TargetMode="External"/><Relationship Id="rId282" Type="http://schemas.openxmlformats.org/officeDocument/2006/relationships/hyperlink" Target="https://www.linkedin.com/posts/vinod-kr-choubey-vkcthecoach-678603a0_leadership-coreteam-teamwork-activity-7410133509182283776-gnR-?utm_source=share&amp;utm_medium=member_desktop&amp;rcm=ACoAAEb3E9gBwsuBIEB-qX33QBAAeuXV38R4wso" TargetMode="External"/><Relationship Id="rId317" Type="http://schemas.openxmlformats.org/officeDocument/2006/relationships/hyperlink" Target="https://www.linkedin.com/posts/sreeveniv-transformational-catalyst-self-worth-influencer_failure-setback-activity-7412702049173319680-qzqX?utm_source=share&amp;utm_medium=member_desktop&amp;rcm=ACoAAEb3E9gBwsuBIEB-qX33QBAAeuXV38R4wso" TargetMode="External"/><Relationship Id="rId338" Type="http://schemas.openxmlformats.org/officeDocument/2006/relationships/hyperlink" Target="https://www.linkedin.com/posts/sunny-thakur-lakshya-signages_a-new-year-is-a-blank-page-12-chapters-activity-7412509282858074112-i-AF?utm_source=share&amp;utm_medium=member_desktop&amp;rcm=ACoAAEb3E9gBwsuBIEB-qX33QBAAeuXV38R4wso" TargetMode="External"/><Relationship Id="rId8" Type="http://schemas.openxmlformats.org/officeDocument/2006/relationships/hyperlink" Target="https://www.linkedin.com/posts/shoaibahmed21_how-to-make-me-want-to-curl-into-a-ball-and-activity-7406987776312713217-lJU0?utm_source=share&amp;utm_medium=member_desktop&amp;rcm=ACoAAEb3E9gBwsuBIEB-qX33QBAAeuXV38R4wso" TargetMode="External"/><Relationship Id="rId98" Type="http://schemas.openxmlformats.org/officeDocument/2006/relationships/hyperlink" Target="https://www.linkedin.com/in/diane-integrates/" TargetMode="External"/><Relationship Id="rId121" Type="http://schemas.openxmlformats.org/officeDocument/2006/relationships/hyperlink" Target="https://www.linkedin.com/posts/christopherbarnhill_verizon-telecom-cat6-activity-7404512739559149568-gj8-?utm_source=share&amp;utm_medium=member_desktop&amp;rcm=ACoAAEb3E9gBwsuBIEB-qX33QBAAeuXV38R4wso" TargetMode="External"/><Relationship Id="rId142" Type="http://schemas.openxmlformats.org/officeDocument/2006/relationships/hyperlink" Target="https://www.linkedin.com/posts/andreapetrone_how-to-challenge-the-status-quo-activity-7408846473037254656-_qSJ?utm_source=share&amp;utm_medium=member_desktop&amp;rcm=ACoAAEb3E9gBwsuBIEB-qX33QBAAeuXV38R4wso" TargetMode="External"/><Relationship Id="rId163" Type="http://schemas.openxmlformats.org/officeDocument/2006/relationships/hyperlink" Target="https://www.linkedin.com/in/drsaurabhpatil/" TargetMode="External"/><Relationship Id="rId184" Type="http://schemas.openxmlformats.org/officeDocument/2006/relationships/hyperlink" Target="https://www.linkedin.com/posts/marcuscarey_a-very-ai-christmas-im-excited-activity-7409306956332466176-ZvBG?utm_source=share&amp;utm_medium=member_desktop&amp;rcm=ACoAAEb3E9gBwsuBIEB-qX33QBAAeuXV38R4wso" TargetMode="External"/><Relationship Id="rId219" Type="http://schemas.openxmlformats.org/officeDocument/2006/relationships/hyperlink" Target="https://www.linkedin.com/posts/cashivani_brand-leadership-vision2026-activity-7410209173201854464-xT0b?utm_source=share&amp;utm_medium=member_desktop&amp;rcm=ACoAAEb3E9gBwsuBIEB-qX33QBAAeuXV38R4wso" TargetMode="External"/><Relationship Id="rId230" Type="http://schemas.openxmlformats.org/officeDocument/2006/relationships/hyperlink" Target="https://www.linkedin.com/in/coachshwetabajaj/" TargetMode="External"/><Relationship Id="rId251" Type="http://schemas.openxmlformats.org/officeDocument/2006/relationships/hyperlink" Target="https://www.linkedin.com/posts/jainsanjay123_directselling-motivation-hindimotivation-activity-7412836210651435008-r1g-?utm_source=share&amp;utm_medium=member_desktop&amp;rcm=ACoAAEb3E9gBwsuBIEB-qX33QBAAeuXV38R4wso" TargetMode="External"/><Relationship Id="rId25" Type="http://schemas.openxmlformats.org/officeDocument/2006/relationships/hyperlink" Target="https://www.linkedin.com/posts/shoaibahmed21_how-to-make-me-want-to-curl-into-a-ball-and-activity-7406987776312713217-lJU0?utm_source=share&amp;utm_medium=member_desktop&amp;rcm=ACoAAEb3E9gBwsuBIEB-qX33QBAAeuXV38R4wso" TargetMode="External"/><Relationship Id="rId46" Type="http://schemas.openxmlformats.org/officeDocument/2006/relationships/hyperlink" Target="https://www.linkedin.com/posts/activity-7335270228915838976-I5f3?utm_source=share&amp;utm_medium=member_desktop&amp;rcm=ACoAAEb3E9gBwsuBIEB-qX33QBAAeuXV38R4wso" TargetMode="External"/><Relationship Id="rId67" Type="http://schemas.openxmlformats.org/officeDocument/2006/relationships/hyperlink" Target="https://www.linkedin.com/posts/randybelham_entrepreneurship-productivity-goalsetting-activity-7407129985704173571-ABAG?utm_source=share&amp;utm_medium=member_desktop&amp;rcm=ACoAAEb3E9gBwsuBIEB-qX33QBAAeuXV38R4wso" TargetMode="External"/><Relationship Id="rId272" Type="http://schemas.openxmlformats.org/officeDocument/2006/relationships/hyperlink" Target="https://www.linkedin.com/posts/ravi-bodani-b2749380_register-for-nlp-certification-course-starts-activity-7406607876686852096-leEn?utm_source=share&amp;utm_medium=member_desktop&amp;rcm=ACoAAEb3E9gBwsuBIEB-qX33QBAAeuXV38R4wso" TargetMode="External"/><Relationship Id="rId293" Type="http://schemas.openxmlformats.org/officeDocument/2006/relationships/hyperlink" Target="https://www.linkedin.com/posts/successmatters_coachingmoments-chiefexecutivepodcast-podcast-ugcPost-6824049397991657472-fOex?utm_source=share&amp;utm_medium=member_desktop&amp;rcm=ACoAAEb3E9gBwsuBIEB-qX33QBAAeuXV38R4wso" TargetMode="External"/><Relationship Id="rId307" Type="http://schemas.openxmlformats.org/officeDocument/2006/relationships/hyperlink" Target="https://www.linkedin.com/posts/geetanjali-papreja_perceptionoverexpression-yearendreflection-activity-7411281075278319617-vV2w?utm_source=share&amp;utm_medium=member_desktop&amp;rcm=ACoAAEb3E9gBwsuBIEB-qX33QBAAeuXV38R4wso" TargetMode="External"/><Relationship Id="rId328" Type="http://schemas.openxmlformats.org/officeDocument/2006/relationships/hyperlink" Target="https://www.linkedin.com/posts/harneet-kaur-kohli_we-all-choose-one-of-two-pains-the-pain-activity-7396090649088999424-qqbg?utm_source=share&amp;utm_medium=member_desktop&amp;rcm=ACoAAEb3E9gBwsuBIEB-qX33QBAAeuXV38R4wso" TargetMode="External"/><Relationship Id="rId88" Type="http://schemas.openxmlformats.org/officeDocument/2006/relationships/hyperlink" Target="https://www.linkedin.com/posts/hollowayanthony_yesterday-i-said-cutting-food-stamps-is-activity-7390938355804524544-xDkt?utm_source=share&amp;utm_medium=member_desktop&amp;rcm=ACoAAEb3E9gBwsuBIEB-qX33QBAAeuXV38R4wso" TargetMode="External"/><Relationship Id="rId111" Type="http://schemas.openxmlformats.org/officeDocument/2006/relationships/hyperlink" Target="https://www.linkedin.com/posts/anamarialopezcaldwell_comunidad-cultura-gratitude-activity-7408906479748976640-iyyZ?utm_source=share&amp;utm_medium=member_desktop&amp;rcm=ACoAAEb3E9gBwsuBIEB-qX33QBAAeuXV38R4wso" TargetMode="External"/><Relationship Id="rId132" Type="http://schemas.openxmlformats.org/officeDocument/2006/relationships/hyperlink" Target="https://www.linkedin.com/posts/brett-r-huntington_7-investments-i-made-in-2025-that-are-absolutely-activity-7396929000612409344-bGD_?utm_source=share&amp;utm_medium=member_desktop&amp;rcm=ACoAAEb3E9gBwsuBIEB-qX33QBAAeuXV38R4wso" TargetMode="External"/><Relationship Id="rId153" Type="http://schemas.openxmlformats.org/officeDocument/2006/relationships/hyperlink" Target="https://www.linkedin.com/in/braincoachsunny/" TargetMode="External"/><Relationship Id="rId174" Type="http://schemas.openxmlformats.org/officeDocument/2006/relationships/hyperlink" Target="https://www.linkedin.com/posts/maija-morton-b2b287192_if-you-would-have-asked-younger-me-if-id-activity-7404433474864115712-DpDU?utm_source=share&amp;utm_medium=member_desktop&amp;rcm=ACoAAEb3E9gBwsuBIEB-qX33QBAAeuXV38R4wso" TargetMode="External"/><Relationship Id="rId195" Type="http://schemas.openxmlformats.org/officeDocument/2006/relationships/hyperlink" Target="https://www.linkedin.com/posts/melindaeramirez_lizhealthjourney-kidneydisease-organdonation-activity-7404185407690575873-KjT8?utm_source=share&amp;utm_medium=member_desktop&amp;rcm=ACoAAEb3E9gBwsuBIEB-qX33QBAAeuXV38R4wso" TargetMode="External"/><Relationship Id="rId209" Type="http://schemas.openxmlformats.org/officeDocument/2006/relationships/hyperlink" Target="https://www.linkedin.com/posts/arun-luiz-ph-d-314331140_i-remember-sitting-on-the-edge-for-a-long-activity-7410150019883950080-nce9?utm_source=share&amp;utm_medium=member_desktop&amp;rcm=ACoAAEb3E9gBwsuBIEB-qX33QBAAeuXV38R4wso" TargetMode="External"/><Relationship Id="rId220" Type="http://schemas.openxmlformats.org/officeDocument/2006/relationships/hyperlink" Target="https://www.linkedin.com/posts/cashivani_linkedinfamily-linkedinnetwork-linkedinconnections-activity-7409969456464076800-XHPi?utm_source=share&amp;utm_medium=member_desktop&amp;rcm=ACoAAEb3E9gBwsuBIEB-qX33QBAAeuXV38R4wso" TargetMode="External"/><Relationship Id="rId241" Type="http://schemas.openxmlformats.org/officeDocument/2006/relationships/hyperlink" Target="https://www.linkedin.com/in/geetanjali-papreja/" TargetMode="External"/><Relationship Id="rId15" Type="http://schemas.openxmlformats.org/officeDocument/2006/relationships/hyperlink" Target="https://www.linkedin.com/in/victoria-repa-115a1987/" TargetMode="External"/><Relationship Id="rId36" Type="http://schemas.openxmlformats.org/officeDocument/2006/relationships/hyperlink" Target="https://www.linkedin.com/posts/mridulapat_health-activity-7404954383248936962-Zoi4?utm_source=share&amp;utm_medium=member_desktop&amp;rcm=ACoAAEb3E9gBwsuBIEB-qX33QBAAeuXV38R4wso" TargetMode="External"/><Relationship Id="rId57" Type="http://schemas.openxmlformats.org/officeDocument/2006/relationships/hyperlink" Target="https://www.linkedin.com/posts/shafer-stedron-4b7a19263_in-a-world-that-sometimes-feels-scary-and-activity-7406876299551596545-WIGW?utm_source=share&amp;utm_medium=member_desktop&amp;rcm=ACoAAEb3E9gBwsuBIEB-qX33QBAAeuXV38R4wso" TargetMode="External"/><Relationship Id="rId262" Type="http://schemas.openxmlformats.org/officeDocument/2006/relationships/hyperlink" Target="https://www.linkedin.com/posts/preeti-gandhi_clarity-doesnt-come-from-thinking-harder-activity-7413121060382064640-p9-e?utm_source=share&amp;utm_medium=member_desktop&amp;rcm=ACoAAEb3E9gBwsuBIEB-qX33QBAAeuXV38R4wso" TargetMode="External"/><Relationship Id="rId283" Type="http://schemas.openxmlformats.org/officeDocument/2006/relationships/hyperlink" Target="https://www.linkedin.com/posts/vinod-kr-choubey-vkcthecoach-678603a0_mentorship-leadership-guidance-activity-7410013441840566272-mnjU?utm_source=share&amp;utm_medium=member_desktop&amp;rcm=ACoAAEb3E9gBwsuBIEB-qX33QBAAeuXV38R4wso" TargetMode="External"/><Relationship Id="rId318" Type="http://schemas.openxmlformats.org/officeDocument/2006/relationships/hyperlink" Target="https://www.linkedin.com/posts/sreeveniv-transformational-catalyst-self-worth-influencer_coach-newyear-activity-7412335114480857088-QFiy?utm_source=share&amp;utm_medium=member_desktop&amp;rcm=ACoAAEb3E9gBwsuBIEB-qX33QBAAeuXV38R4wso" TargetMode="External"/><Relationship Id="rId339" Type="http://schemas.openxmlformats.org/officeDocument/2006/relationships/hyperlink" Target="https://www.linkedin.com/posts/sanskriti-agarwal-44161625a_1st-january-welcoming-2026-with-gratitude-activity-7412392046348578816-Xi2p?utm_source=share&amp;utm_medium=member_desktop&amp;rcm=ACoAAEb3E9gBwsuBIEB-qX33QBAAeuXV38R4wso" TargetMode="External"/><Relationship Id="rId78" Type="http://schemas.openxmlformats.org/officeDocument/2006/relationships/hyperlink" Target="https://www.linkedin.com/in/bridget-g-walton/" TargetMode="External"/><Relationship Id="rId99" Type="http://schemas.openxmlformats.org/officeDocument/2006/relationships/hyperlink" Target="https://www.linkedin.com/in/paulrlewis1/" TargetMode="External"/><Relationship Id="rId101" Type="http://schemas.openxmlformats.org/officeDocument/2006/relationships/hyperlink" Target="https://www.linkedin.com/in/monicaverma/" TargetMode="External"/><Relationship Id="rId122" Type="http://schemas.openxmlformats.org/officeDocument/2006/relationships/hyperlink" Target="https://www.linkedin.com/posts/christopherbarnhill_verizon-telecom-cat6-activity-7404512739559149568-gj8-?utm_source=share&amp;utm_medium=member_desktop&amp;rcm=ACoAAEb3E9gBwsuBIEB-qX33QBAAeuXV38R4wso" TargetMode="External"/><Relationship Id="rId143" Type="http://schemas.openxmlformats.org/officeDocument/2006/relationships/hyperlink" Target="https://www.linkedin.com/posts/wcl21_meg-oneill-is-not-the-first-female-ceo-in-activity-7408549908594495488-Spoa?utm_source=share&amp;utm_medium=member_desktop&amp;rcm=ACoAAEb3E9gBwsuBIEB-qX33QBAAeuXV38R4wso" TargetMode="External"/><Relationship Id="rId164" Type="http://schemas.openxmlformats.org/officeDocument/2006/relationships/hyperlink" Target="https://www.linkedin.com/in/arun-luiz-ph-d-314331140/" TargetMode="External"/><Relationship Id="rId185" Type="http://schemas.openxmlformats.org/officeDocument/2006/relationships/hyperlink" Target="https://www.linkedin.com/posts/cathy-du_its-my-birthday-today-and-this-year-has-activity-7388347399792058368-8gPG?utm_source=share&amp;utm_medium=member_desktop&amp;rcm=ACoAAEb3E9gBwsuBIEB-qX33QBAAeuXV38R4wso" TargetMode="External"/><Relationship Id="rId9" Type="http://schemas.openxmlformats.org/officeDocument/2006/relationships/hyperlink" Target="https://www.linkedin.com/posts/shoaibahmed21_how-to-make-me-want-to-curl-into-a-ball-and-activity-7406987776312713217-lJU0?utm_source=share&amp;utm_medium=member_desktop&amp;rcm=ACoAAEb3E9gBwsuBIEB-qX33QBAAeuXV38R4wso" TargetMode="External"/><Relationship Id="rId210" Type="http://schemas.openxmlformats.org/officeDocument/2006/relationships/hyperlink" Target="https://www.linkedin.com/posts/arun-luiz-ph-d-314331140_may-this-christmas-slow-you-down-and-soften-activity-7409780723995357185-tqPB?utm_source=share&amp;utm_medium=member_desktop&amp;rcm=ACoAAEb3E9gBwsuBIEB-qX33QBAAeuXV38R4wso" TargetMode="External"/><Relationship Id="rId26" Type="http://schemas.openxmlformats.org/officeDocument/2006/relationships/hyperlink" Target="https://www.linkedin.com/posts/shoaibahmed21_how-to-make-me-want-to-curl-into-a-ball-and-activity-7406987776312713217-lJU0?utm_source=share&amp;utm_medium=member_desktop&amp;rcm=ACoAAEb3E9gBwsuBIEB-qX33QBAAeuXV38R4wso" TargetMode="External"/><Relationship Id="rId231" Type="http://schemas.openxmlformats.org/officeDocument/2006/relationships/hyperlink" Target="https://www.linkedin.com/in/preeti-gandhi/" TargetMode="External"/><Relationship Id="rId252" Type="http://schemas.openxmlformats.org/officeDocument/2006/relationships/hyperlink" Target="https://www.linkedin.com/posts/jainsanjay123_sanjayjain-lifecoach-sahidirection-activity-7412474711596728320-Zg4W?utm_source=share&amp;utm_medium=member_desktop&amp;rcm=ACoAAEb3E9gBwsuBIEB-qX33QBAAeuXV38R4wso" TargetMode="External"/><Relationship Id="rId273" Type="http://schemas.openxmlformats.org/officeDocument/2006/relationships/hyperlink" Target="https://www.linkedin.com/posts/ravi-bodani-b2749380_registration-link-httpslnkdind73zqmxz-activity-7401891493549895680-MIhO?utm_source=share&amp;utm_medium=member_desktop&amp;rcm=ACoAAEb3E9gBwsuBIEB-qX33QBAAeuXV38R4wso" TargetMode="External"/><Relationship Id="rId294" Type="http://schemas.openxmlformats.org/officeDocument/2006/relationships/hyperlink" Target="https://www.linkedin.com/posts/toddcherches_visualeadership-ugcPost-7392623606041702401-FUqG?utm_source=share&amp;utm_medium=member_desktop&amp;rcm=ACoAAEb3E9gBwsuBIEB-qX33QBAAeuXV38R4wso" TargetMode="External"/><Relationship Id="rId308" Type="http://schemas.openxmlformats.org/officeDocument/2006/relationships/hyperlink" Target="https://www.linkedin.com/posts/geetanjali-papreja_mindsetmatters-resilienceinaction-reflections-activity-7396057007679528960-W3Rp?utm_source=share&amp;utm_medium=member_desktop&amp;rcm=ACoAAEb3E9gBwsuBIEB-qX33QBAAeuXV38R4wso" TargetMode="External"/><Relationship Id="rId329" Type="http://schemas.openxmlformats.org/officeDocument/2006/relationships/hyperlink" Target="https://www.linkedin.com/posts/harneet-kaur-kohli_listening-to-a-podcast-made-me-reflect-that-activity-7393909098632650752-gfj9?utm_source=share&amp;utm_medium=member_desktop&amp;rcm=ACoAAEb3E9gBwsuBIEB-qX33QBAAeuXV38R4wso" TargetMode="External"/><Relationship Id="rId47" Type="http://schemas.openxmlformats.org/officeDocument/2006/relationships/hyperlink" Target="https://www.linkedin.com/posts/activity-7331364109168381952-Xd41?utm_source=share&amp;utm_medium=member_desktop&amp;rcm=ACoAAEb3E9gBwsuBIEB-qX33QBAAeuXV38R4wso" TargetMode="External"/><Relationship Id="rId68" Type="http://schemas.openxmlformats.org/officeDocument/2006/relationships/hyperlink" Target="https://www.linkedin.com/posts/randybelham_toplifecoach-iaotp-gratitude-activity-7362159709597933568-nnRI?utm_source=share&amp;utm_medium=member_desktop&amp;rcm=ACoAAEb3E9gBwsuBIEB-qX33QBAAeuXV38R4wso" TargetMode="External"/><Relationship Id="rId89" Type="http://schemas.openxmlformats.org/officeDocument/2006/relationships/hyperlink" Target="https://www.linkedin.com/posts/katy24c_extremeownership-ugcPost-7408506779460100097-Vv9x?utm_source=share&amp;utm_medium=member_desktop&amp;rcm=ACoAAEb3E9gBwsuBIEB-qX33QBAAeuXV38R4wso" TargetMode="External"/><Relationship Id="rId112" Type="http://schemas.openxmlformats.org/officeDocument/2006/relationships/hyperlink" Target="https://www.linkedin.com/posts/anamarialopezcaldwell_dranamaria-leadershipcoach-culturaandleadership-activity-7408872958779314176-mPOb?utm_source=share&amp;utm_medium=member_desktop&amp;rcm=ACoAAEb3E9gBwsuBIEB-qX33QBAAeuXV38R4wso" TargetMode="External"/><Relationship Id="rId133" Type="http://schemas.openxmlformats.org/officeDocument/2006/relationships/hyperlink" Target="https://www.linkedin.com/posts/americodacosta_im-happy-to-share-i-will-be-a-member-of-activity-7408940193690345473-slf4?utm_source=share&amp;utm_medium=member_desktop&amp;rcm=ACoAAEb3E9gBwsuBIEB-qX33QBAAeuXV38R4wso" TargetMode="External"/><Relationship Id="rId154" Type="http://schemas.openxmlformats.org/officeDocument/2006/relationships/hyperlink" Target="https://www.linkedin.com/in/sewchoinkowski/" TargetMode="External"/><Relationship Id="rId175" Type="http://schemas.openxmlformats.org/officeDocument/2006/relationships/hyperlink" Target="https://www.linkedin.com/posts/maija-morton-b2b287192_if-you-would-have-asked-younger-me-if-id-activity-7404433474864115712-DpDU?utm_source=share&amp;utm_medium=member_desktop&amp;rcm=ACoAAEb3E9gBwsuBIEB-qX33QBAAeuXV38R4wso" TargetMode="External"/><Relationship Id="rId340" Type="http://schemas.openxmlformats.org/officeDocument/2006/relationships/hyperlink" Target="https://www.linkedin.com/posts/sanskriti-agarwal-44161625a_i-havent-posted-on-linkedin-for-almost-a-activity-7408428645914021888-mVnM?utm_source=share&amp;utm_medium=member_desktop&amp;rcm=ACoAAEb3E9gBwsuBIEB-qX33QBAAeuXV38R4wso" TargetMode="External"/><Relationship Id="rId196" Type="http://schemas.openxmlformats.org/officeDocument/2006/relationships/hyperlink" Target="https://www.linkedin.com/posts/yesenia1_opentowork-ugcPost-7343629038999011328-ML_t?utm_source=share&amp;utm_medium=member_desktop&amp;rcm=ACoAAEb3E9gBwsuBIEB-qX33QBAAeuXV38R4wso" TargetMode="External"/><Relationship Id="rId200" Type="http://schemas.openxmlformats.org/officeDocument/2006/relationships/hyperlink" Target="https://www.linkedin.com/posts/swaimaahmad_phdlife-researchpublication-indianfiction-activity-7351249693928026112--u5F?utm_source=share&amp;utm_medium=member_desktop&amp;rcm=ACoAAEb3E9gBwsuBIEB-qX33QBAAeuXV38R4wso" TargetMode="External"/><Relationship Id="rId16" Type="http://schemas.openxmlformats.org/officeDocument/2006/relationships/hyperlink" Target="https://www.linkedin.com/posts/shoaibahmed21_how-to-make-me-want-to-curl-into-a-ball-and-activity-7406987776312713217-lJU0?utm_source=share&amp;utm_medium=member_desktop&amp;rcm=ACoAAEb3E9gBwsuBIEB-qX33QBAAeuXV38R4wso" TargetMode="External"/><Relationship Id="rId221" Type="http://schemas.openxmlformats.org/officeDocument/2006/relationships/hyperlink" Target="https://www.linkedin.com/posts/cashivani_vision2026-skillingonsaturdays-newyear-activity-7409893960971628544-4TZo?utm_source=share&amp;utm_medium=member_desktop&amp;rcm=ACoAAEb3E9gBwsuBIEB-qX33QBAAeuXV38R4wso" TargetMode="External"/><Relationship Id="rId242" Type="http://schemas.openxmlformats.org/officeDocument/2006/relationships/hyperlink" Target="https://www.linkedin.com/in/rajatkhatri-hla/" TargetMode="External"/><Relationship Id="rId263" Type="http://schemas.openxmlformats.org/officeDocument/2006/relationships/hyperlink" Target="https://www.linkedin.com/posts/preeti-gandhi_a-business-picnic-a-mic-and-a-song-i-didn-activity-7412708810680799232-J-5D?utm_source=share&amp;utm_medium=member_desktop&amp;rcm=ACoAAEb3E9gBwsuBIEB-qX33QBAAeuXV38R4wso" TargetMode="External"/><Relationship Id="rId284" Type="http://schemas.openxmlformats.org/officeDocument/2006/relationships/hyperlink" Target="https://www.linkedin.com/posts/vinod-kr-choubey-vkcthecoach-678603a0_gratitude-leadership-learningneverstops-activity-7406937332731273216-8Z_A?utm_source=share&amp;utm_medium=member_desktop&amp;rcm=ACoAAEb3E9gBwsuBIEB-qX33QBAAeuXV38R4wso" TargetMode="External"/><Relationship Id="rId319" Type="http://schemas.openxmlformats.org/officeDocument/2006/relationships/hyperlink" Target="https://www.linkedin.com/posts/sadhanaa-executivecoach-speaker_leadershipdevelopment-militarytomindful-executivecoaching-activity-7413182948843159552-TdAa?utm_source=share&amp;utm_medium=member_desktop&amp;rcm=ACoAAEb3E9gBwsuBIEB-qX33QBAAeuXV38R4wso" TargetMode="External"/><Relationship Id="rId37" Type="http://schemas.openxmlformats.org/officeDocument/2006/relationships/hyperlink" Target="https://www.linkedin.com/posts/coach-me-life_coaching-resiliencecoach-mindfulleadership-ugcPost-7404550836422332416-vZ8d?utm_source=share&amp;utm_medium=member_desktop&amp;rcm=ACoAAEb3E9gBwsuBIEB-qX33QBAAeuXV38R4wso" TargetMode="External"/><Relationship Id="rId58" Type="http://schemas.openxmlformats.org/officeDocument/2006/relationships/hyperlink" Target="https://www.linkedin.com/posts/shafer-stedron-4b7a19263_talkswithdrshafer-behaviouralbreakthrough-activity-7406717908443107328-l_1I?utm_source=share&amp;utm_medium=member_desktop&amp;rcm=ACoAAEb3E9gBwsuBIEB-qX33QBAAeuXV38R4wso" TargetMode="External"/><Relationship Id="rId79" Type="http://schemas.openxmlformats.org/officeDocument/2006/relationships/hyperlink" Target="https://www.linkedin.com/posts/bridget-g-walton_is-your-career-progressing-at-the-cost-of-activity-7373000047157956608-tI-2?utm_source=share&amp;utm_medium=member_desktop&amp;rcm=ACoAAEb3E9gBwsuBIEB-qX33QBAAeuXV38R4wso" TargetMode="External"/><Relationship Id="rId102" Type="http://schemas.openxmlformats.org/officeDocument/2006/relationships/hyperlink" Target="https://www.linkedin.com/in/christopherbarnhill/" TargetMode="External"/><Relationship Id="rId123" Type="http://schemas.openxmlformats.org/officeDocument/2006/relationships/hyperlink" Target="https://www.linkedin.com/in/brett-r-huntington/" TargetMode="External"/><Relationship Id="rId144" Type="http://schemas.openxmlformats.org/officeDocument/2006/relationships/hyperlink" Target="https://www.linkedin.com/posts/andreapetrone_great-leaders-arent-confident-all-the-time-activity-7408484076023808002-k1jE?utm_source=share&amp;utm_medium=member_desktop&amp;rcm=ACoAAEb3E9gBwsuBIEB-qX33QBAAeuXV38R4wso" TargetMode="External"/><Relationship Id="rId330" Type="http://schemas.openxmlformats.org/officeDocument/2006/relationships/hyperlink" Target="https://www.linkedin.com/posts/harneet-kaur-kohli_teamwork-is-the-secret-that-makes-common-activity-7379760091773919232-jxl1?utm_source=share&amp;utm_medium=member_desktop&amp;rcm=ACoAAEb3E9gBwsuBIEB-qX33QBAAeuXV38R4wso" TargetMode="External"/><Relationship Id="rId90" Type="http://schemas.openxmlformats.org/officeDocument/2006/relationships/hyperlink" Target="https://www.linkedin.com/posts/katy24c_extremeownership-activity-7408506780927848448-q3JH?utm_source=share&amp;utm_medium=member_desktop&amp;rcm=ACoAAEb3E9gBwsuBIEB-qX33QBAAeuXV38R4wso" TargetMode="External"/><Relationship Id="rId165" Type="http://schemas.openxmlformats.org/officeDocument/2006/relationships/hyperlink" Target="https://www.linkedin.com/feed/update/urn:li:activity:7409443356004708352?utm_source=share&amp;utm_medium=member_desktop&amp;rcm=ACoAAEb3E9gBwsuBIEB-qX33QBAAeuXV38R4wso" TargetMode="External"/><Relationship Id="rId186" Type="http://schemas.openxmlformats.org/officeDocument/2006/relationships/hyperlink" Target="https://www.linkedin.com/posts/cathy-du_if-things-felt-extra-quiet-lately-there-activity-7380970023219236864-tAua?utm_source=share&amp;utm_medium=member_desktop&amp;rcm=ACoAAEb3E9gBwsuBIEB-qX33QBAAeuXV38R4wso" TargetMode="External"/><Relationship Id="rId211" Type="http://schemas.openxmlformats.org/officeDocument/2006/relationships/hyperlink" Target="https://www.linkedin.com/posts/arun-luiz-ph-d-314331140_%F0%9D%90%96%F0%9D%90%A1%F0%9D%90%9E%F0%9D%90%A7-%F0%9D%90%88-%F0%9D%90%A5%F0%9D%90%A8%F0%9D%90%A8%F0%9D%90%A4-%F0%9D%90%9B%F0%9D%90%9A%F0%9D%90%9C%F0%9D%90%A4-%F0%9D%90%88-%F0%9D%90%9D%F0%9D%90%A8%F0%9D%90%A7-activity-7409431044002611200-YHrG?utm_source=share&amp;utm_medium=member_desktop&amp;rcm=ACoAAEb3E9gBwsuBIEB-qX33QBAAeuXV38R4wso" TargetMode="External"/><Relationship Id="rId232" Type="http://schemas.openxmlformats.org/officeDocument/2006/relationships/hyperlink" Target="https://www.linkedin.com/in/kasheshchhabbria/" TargetMode="External"/><Relationship Id="rId253" Type="http://schemas.openxmlformats.org/officeDocument/2006/relationships/hyperlink" Target="https://www.linkedin.com/posts/jainsanjay123_sanjayjain-happynewyear-goodbye2025-activity-7412332788856791040-v-o5?utm_source=share&amp;utm_medium=member_desktop&amp;rcm=ACoAAEb3E9gBwsuBIEB-qX33QBAAeuXV38R4wso" TargetMode="External"/><Relationship Id="rId274" Type="http://schemas.openxmlformats.org/officeDocument/2006/relationships/hyperlink" Target="https://www.linkedin.com/posts/soni-singh-nlpcoach_happy-new-year-2026-may-this-new-activity-7412214537430626304-1o5e?utm_source=share&amp;utm_medium=member_desktop&amp;rcm=ACoAAEb3E9gBwsuBIEB-qX33QBAAeuXV38R4wso" TargetMode="External"/><Relationship Id="rId295" Type="http://schemas.openxmlformats.org/officeDocument/2006/relationships/hyperlink" Target="https://www.linkedin.com/posts/shreshthamittal_community-purpose-activity-7393495254596747264-G2q_?utm_source=share&amp;utm_medium=member_desktop&amp;rcm=ACoAAEb3E9gBwsuBIEB-qX33QBAAeuXV38R4wso" TargetMode="External"/><Relationship Id="rId309" Type="http://schemas.openxmlformats.org/officeDocument/2006/relationships/hyperlink" Target="https://www.linkedin.com/posts/geetanjali-papreja_reflectivemornings-activity-7390243730949173248-wU3s?utm_source=share&amp;utm_medium=member_desktop&amp;rcm=ACoAAEb3E9gBwsuBIEB-qX33QBAAeuXV38R4wso" TargetMode="External"/><Relationship Id="rId27" Type="http://schemas.openxmlformats.org/officeDocument/2006/relationships/hyperlink" Target="https://www.linkedin.com/posts/shoaibahmed21_how-to-make-me-want-to-curl-into-a-ball-and-activity-7406987776312713217-lJU0?utm_source=share&amp;utm_medium=member_desktop&amp;rcm=ACoAAEb3E9gBwsuBIEB-qX33QBAAeuXV38R4wso" TargetMode="External"/><Relationship Id="rId48" Type="http://schemas.openxmlformats.org/officeDocument/2006/relationships/hyperlink" Target="https://www.linkedin.com/posts/yourguideway_working-for-a-bad-leader-will-kill-your-career-activity-7396426964032552961-83tF?utm_source=share&amp;utm_medium=member_desktop&amp;rcm=ACoAAEb3E9gBwsuBIEB-qX33QBAAeuXV38R4wso" TargetMode="External"/><Relationship Id="rId69" Type="http://schemas.openxmlformats.org/officeDocument/2006/relationships/hyperlink" Target="https://www.linkedin.com/in/maria-fernanda-rodr%C3%ADguez-mackay-76658a177/" TargetMode="External"/><Relationship Id="rId113" Type="http://schemas.openxmlformats.org/officeDocument/2006/relationships/hyperlink" Target="https://www.linkedin.com/posts/anamarialopezcaldwell_step-into-2026-with-clarity-and-purpose-activity-7408198465760944129-H-eB?utm_source=share&amp;utm_medium=member_desktop&amp;rcm=ACoAAEb3E9gBwsuBIEB-qX33QBAAeuXV38R4wso" TargetMode="External"/><Relationship Id="rId134" Type="http://schemas.openxmlformats.org/officeDocument/2006/relationships/hyperlink" Target="https://www.linkedin.com/posts/americodacosta_save-the-date-every-thursday-in-january-activity-7408584811369377792-XFH_?utm_source=share&amp;utm_medium=member_desktop&amp;rcm=ACoAAEb3E9gBwsuBIEB-qX33QBAAeuXV38R4wso" TargetMode="External"/><Relationship Id="rId320" Type="http://schemas.openxmlformats.org/officeDocument/2006/relationships/hyperlink" Target="https://www.linkedin.com/posts/sadhanaa-executivecoach-speaker_selfmastery-leadership-activity-7412555627371331584-tuiY?utm_source=share&amp;utm_medium=member_desktop&amp;rcm=ACoAAEb3E9gBwsuBIEB-qX33QBAAeuXV38R4wso" TargetMode="External"/><Relationship Id="rId80" Type="http://schemas.openxmlformats.org/officeDocument/2006/relationships/hyperlink" Target="https://www.linkedin.com/posts/bridget-g-walton_going-from-employee-to-entrepreneur-taught-activity-7361427513794793474-iDun?utm_source=share&amp;utm_medium=member_desktop&amp;rcm=ACoAAEb3E9gBwsuBIEB-qX33QBAAeuXV38R4wso" TargetMode="External"/><Relationship Id="rId155" Type="http://schemas.openxmlformats.org/officeDocument/2006/relationships/hyperlink" Target="https://www.linkedin.com/in/maija-morton-b2b287192/" TargetMode="External"/><Relationship Id="rId176" Type="http://schemas.openxmlformats.org/officeDocument/2006/relationships/hyperlink" Target="https://www.linkedin.com/posts/maija-morton-b2b287192_the-real-thing-that-will-help-you-stay-consistent-activity-7404071062130520064-1Res?utm_source=share&amp;utm_medium=member_desktop&amp;rcm=ACoAAEb3E9gBwsuBIEB-qX33QBAAeuXV38R4wso" TargetMode="External"/><Relationship Id="rId197" Type="http://schemas.openxmlformats.org/officeDocument/2006/relationships/hyperlink" Target="https://www.linkedin.com/posts/swaimaahmad_publicspeaking-leadership-communicationskills-activity-7359978478508666880-s1Tq?utm_source=share&amp;utm_medium=member_desktop&amp;rcm=ACoAAEb3E9gBwsuBIEB-qX33QBAAeuXV38R4wso" TargetMode="External"/><Relationship Id="rId341" Type="http://schemas.openxmlformats.org/officeDocument/2006/relationships/hyperlink" Target="https://www.linkedin.com/posts/sanskriti-agarwal-44161625a_had-the-privilege-to-interact-with-company-ugcPost-7393129848736501760-1qWc?utm_source=share&amp;utm_medium=member_desktop&amp;rcm=ACoAAEb3E9gBwsuBIEB-qX33QBAAeuXV38R4wso" TargetMode="External"/><Relationship Id="rId201" Type="http://schemas.openxmlformats.org/officeDocument/2006/relationships/hyperlink" Target="https://www.linkedin.com/posts/monikalifezen_monikalifezen-lifecoaching-selfcare-activity-7409797553384419329-14h5?utm_source=share&amp;utm_medium=member_desktop&amp;rcm=ACoAAEb3E9gBwsuBIEB-qX33QBAAeuXV38R4wso" TargetMode="External"/><Relationship Id="rId222" Type="http://schemas.openxmlformats.org/officeDocument/2006/relationships/hyperlink" Target="https://www.linkedin.com/posts/cashivani_most-days-it-comes-down-to-this-i-can-activity-7408683070532382720-b2zz?utm_source=share&amp;utm_medium=member_desktop&amp;rcm=ACoAAEb3E9gBwsuBIEB-qX33QBAAeuXV38R4wso" TargetMode="External"/><Relationship Id="rId243" Type="http://schemas.openxmlformats.org/officeDocument/2006/relationships/hyperlink" Target="https://www.linkedin.com/in/sreeveniv-transformational-catalyst-self-worth-influencer/" TargetMode="External"/><Relationship Id="rId264" Type="http://schemas.openxmlformats.org/officeDocument/2006/relationships/hyperlink" Target="https://www.linkedin.com/posts/preeti-gandhi_yearend-authenticity-jlt-activity-7410982983312183297-Zt9o?utm_source=share&amp;utm_medium=member_desktop&amp;rcm=ACoAAEb3E9gBwsuBIEB-qX33QBAAeuXV38R4wso" TargetMode="External"/><Relationship Id="rId285" Type="http://schemas.openxmlformats.org/officeDocument/2006/relationships/hyperlink" Target="https://www.linkedin.com/posts/vinod-kr-choubey-vkcthecoach-678603a0_fitnessjourney-40sandfit-strengthtraining-activity-7406246761146527744-_gYd?utm_source=share&amp;utm_medium=member_desktop&amp;rcm=ACoAAEb3E9gBwsuBIEB-qX33QBAAeuXV38R4wso" TargetMode="External"/><Relationship Id="rId17" Type="http://schemas.openxmlformats.org/officeDocument/2006/relationships/hyperlink" Target="https://www.linkedin.com/posts/shoaibahmed21_how-to-make-me-want-to-curl-into-a-ball-and-activity-7406987776312713217-lJU0?utm_source=share&amp;utm_medium=member_desktop&amp;rcm=ACoAAEb3E9gBwsuBIEB-qX33QBAAeuXV38R4wso" TargetMode="External"/><Relationship Id="rId38" Type="http://schemas.openxmlformats.org/officeDocument/2006/relationships/hyperlink" Target="https://www.linkedin.com/in/cybruni/" TargetMode="External"/><Relationship Id="rId59" Type="http://schemas.openxmlformats.org/officeDocument/2006/relationships/hyperlink" Target="https://www.linkedin.com/posts/shafer-stedron-4b7a19263_dreidels-day-out-blue-dreidel-no-9-activity-7406117139864006656-0uTA?utm_source=share&amp;utm_medium=member_desktop&amp;rcm=ACoAAEb3E9gBwsuBIEB-qX33QBAAeuXV38R4wso" TargetMode="External"/><Relationship Id="rId103" Type="http://schemas.openxmlformats.org/officeDocument/2006/relationships/hyperlink" Target="https://www.linkedin.com/posts/diane-integrates_you-can-pretend-its-nothing-until-it-becomes-activity-7407394455990714368-eMgM?utm_source=share&amp;utm_medium=member_desktop&amp;rcm=ACoAAEb3E9gBwsuBIEB-qX33QBAAeuXV38R4wso" TargetMode="External"/><Relationship Id="rId124" Type="http://schemas.openxmlformats.org/officeDocument/2006/relationships/hyperlink" Target="https://www.linkedin.com/in/americodacosta/" TargetMode="External"/><Relationship Id="rId310" Type="http://schemas.openxmlformats.org/officeDocument/2006/relationships/hyperlink" Target="https://www.linkedin.com/posts/geetanjali-papreja_reflection-activity-7389527958690062336-doma?utm_source=share&amp;utm_medium=member_desktop&amp;rcm=ACoAAEb3E9gBwsuBIEB-qX33QBAAeuXV38R4wso" TargetMode="External"/><Relationship Id="rId70" Type="http://schemas.openxmlformats.org/officeDocument/2006/relationships/hyperlink" Target="https://www.linkedin.com/posts/maria-fernanda-rodr%C3%ADguez-mackay-76658a177_buildingbridges-community-empowerment-activity-7340084544877826050-a5FJ?utm_source=share&amp;utm_medium=member_desktop&amp;rcm=ACoAAEb3E9gBwsuBIEB-qX33QBAAeuXV38R4wso" TargetMode="External"/><Relationship Id="rId91" Type="http://schemas.openxmlformats.org/officeDocument/2006/relationships/hyperlink" Target="https://www.linkedin.com/posts/katy24c_most-people-think-exercise-is-about-aesthetics-ugcPost-7408144331401822208-m8R9?utm_source=share&amp;utm_medium=member_desktop&amp;rcm=ACoAAEb3E9gBwsuBIEB-qX33QBAAeuXV38R4wso" TargetMode="External"/><Relationship Id="rId145" Type="http://schemas.openxmlformats.org/officeDocument/2006/relationships/hyperlink" Target="https://www.linkedin.com/posts/aundreadeleon_yearinreview-activity-7407132879660654592-Zyxk?utm_source=share&amp;utm_medium=member_desktop&amp;rcm=ACoAAEb3E9gBwsuBIEB-qX33QBAAeuXV38R4wso" TargetMode="External"/><Relationship Id="rId166" Type="http://schemas.openxmlformats.org/officeDocument/2006/relationships/hyperlink" Target="https://www.linkedin.com/posts/braincoachsunny_mindset-parenting-healing-activity-7409440347300491264-MDw3?utm_source=share&amp;utm_medium=member_desktop&amp;rcm=ACoAAEb3E9gBwsuBIEB-qX33QBAAeuXV38R4wso" TargetMode="External"/><Relationship Id="rId187" Type="http://schemas.openxmlformats.org/officeDocument/2006/relationships/hyperlink" Target="https://www.linkedin.com/posts/cathy-du_careerclarity-careerpivot-tech-activity-7340117122708066304-BwGP?utm_source=share&amp;utm_medium=member_desktop&amp;rcm=ACoAAEb3E9gBwsuBIEB-qX33QBAAeuXV38R4wso" TargetMode="External"/><Relationship Id="rId331" Type="http://schemas.openxmlformats.org/officeDocument/2006/relationships/hyperlink" Target="https://www.linkedin.com/posts/divyeshwani_marketing-aimarketing-marketingautomation-activity-7410295729786617856-R8L0?utm_source=share&amp;utm_medium=member_desktop&amp;rcm=ACoAAEb3E9gBwsuBIEB-qX33QBAAeuXV38R4wso" TargetMode="External"/><Relationship Id="rId1" Type="http://schemas.openxmlformats.org/officeDocument/2006/relationships/hyperlink" Target="https://www.linkedin.com/in/funmifatonaayowole/" TargetMode="External"/><Relationship Id="rId212" Type="http://schemas.openxmlformats.org/officeDocument/2006/relationships/hyperlink" Target="https://www.linkedin.com/posts/arun-luiz-ph-d-314331140_the-syllabus-ends-connections-dont-thankful-activity-7407609629662175232-HBAb?utm_source=share&amp;utm_medium=member_desktop&amp;rcm=ACoAAEb3E9gBwsuBIEB-qX33QBAAeuXV38R4wso" TargetMode="External"/><Relationship Id="rId233" Type="http://schemas.openxmlformats.org/officeDocument/2006/relationships/hyperlink" Target="https://www.linkedin.com/in/ravi-bodani-b2749380/" TargetMode="External"/><Relationship Id="rId254" Type="http://schemas.openxmlformats.org/officeDocument/2006/relationships/hyperlink" Target="https://www.linkedin.com/posts/shivam-lalchandani-6642261b7_saturday-parents-love-activity-7413026315815223296-N4rK?utm_source=share&amp;utm_medium=member_desktop&amp;rcm=ACoAAEb3E9gBwsuBIEB-qX33QBAAeuXV38R4wso" TargetMode="External"/><Relationship Id="rId28" Type="http://schemas.openxmlformats.org/officeDocument/2006/relationships/hyperlink" Target="https://www.linkedin.com/in/ornella-san/" TargetMode="External"/><Relationship Id="rId49" Type="http://schemas.openxmlformats.org/officeDocument/2006/relationships/hyperlink" Target="https://www.linkedin.com/posts/silvia-young-dobbertin-3a603817_sap-lifecoach-careerdevelopment-activity-7284698566785159168-FVT0?utm_source=share&amp;utm_medium=member_desktop&amp;rcm=ACoAAEb3E9gBwsuBIEB-qX33QBAAeuXV38R4wso" TargetMode="External"/><Relationship Id="rId114" Type="http://schemas.openxmlformats.org/officeDocument/2006/relationships/hyperlink" Target="https://www.linkedin.com/posts/anamarialopezcaldwell_gsmi-stemmentorship-graduateschool-activity-7407205584409743360-Cx4g?utm_source=share&amp;utm_medium=member_desktop&amp;rcm=ACoAAEb3E9gBwsuBIEB-qX33QBAAeuXV38R4wso" TargetMode="External"/><Relationship Id="rId275" Type="http://schemas.openxmlformats.org/officeDocument/2006/relationships/hyperlink" Target="https://www.linkedin.com/posts/soni-singh-nlpcoach_happy-new-year-2026-may-this-new-activity-7412214537430626304-1o5e?utm_source=share&amp;utm_medium=member_desktop&amp;rcm=ACoAAEb3E9gBwsuBIEB-qX33QBAAeuXV38R4wso" TargetMode="External"/><Relationship Id="rId296" Type="http://schemas.openxmlformats.org/officeDocument/2006/relationships/hyperlink" Target="https://www.linkedin.com/posts/shreshthamittal_piyushpandey-legacy-advertising-activity-7387815158804361218-1jVW?utm_source=share&amp;utm_medium=member_desktop&amp;rcm=ACoAAEb3E9gBwsuBIEB-qX33QBAAeuXV38R4wso" TargetMode="External"/><Relationship Id="rId300" Type="http://schemas.openxmlformats.org/officeDocument/2006/relationships/hyperlink" Target="https://www.linkedin.com/posts/roli-kesarwani_%F0%9D%90%96%F0%9D%90%A1%F0%9D%90%9A%F0%9D%90%AD-%F0%9D%90%96%F0%9D%90%A8%F0%9D%90%AE%F0%9D%90%A5%F0%9D%90%9D-%F0%9D%90%87%F0%9D%90%9A%F0%9D%90%A9%F0%9D%90%A9%F0%9D%90%9E%F0%9D%90%A7-%F0%9D%90%88%F0%9D%90%9F-%F0%9D%90%98%F0%9D%90%A8%F0%9D%90%AE-activity-7308342791212818432-le0E?utm_source=share&amp;utm_medium=member_desktop&amp;rcm=ACoAAEb3E9gBwsuBIEB-qX33QBAAeuXV38R4wso" TargetMode="External"/><Relationship Id="rId60" Type="http://schemas.openxmlformats.org/officeDocument/2006/relationships/hyperlink" Target="https://www.linkedin.com/posts/arteevedula_thrivewithartee-thrivingthursday-selfloveismysuperpower-activity-7407575032396222464-_fib?utm_source=share&amp;utm_medium=member_desktop&amp;rcm=ACoAAEb3E9gBwsuBIEB-qX33QBAAeuXV38R4wso" TargetMode="External"/><Relationship Id="rId81" Type="http://schemas.openxmlformats.org/officeDocument/2006/relationships/hyperlink" Target="https://www.linkedin.com/posts/bridget-g-walton_bloat-free-breakout-free-period-drama-free-activity-7341628601026433025-Do1_?utm_source=share&amp;utm_medium=member_desktop&amp;rcm=ACoAAEb3E9gBwsuBIEB-qX33QBAAeuXV38R4wso" TargetMode="External"/><Relationship Id="rId135" Type="http://schemas.openxmlformats.org/officeDocument/2006/relationships/hyperlink" Target="https://www.linkedin.com/posts/americodacosta_intro-outro-timing-how-long-will-your-activity-7408130282127646720-amHh?utm_source=share&amp;utm_medium=member_desktop&amp;rcm=ACoAAEb3E9gBwsuBIEB-qX33QBAAeuXV38R4wso" TargetMode="External"/><Relationship Id="rId156" Type="http://schemas.openxmlformats.org/officeDocument/2006/relationships/hyperlink" Target="https://www.linkedin.com/in/alyssasmithcoaching/" TargetMode="External"/><Relationship Id="rId177" Type="http://schemas.openxmlformats.org/officeDocument/2006/relationships/hyperlink" Target="https://www.linkedin.com/posts/alyssasmithcoaching_the-call-that-never-comes-still-rings-especially-activity-7408533508748369920-4zXa?utm_source=share&amp;utm_medium=member_desktop&amp;rcm=ACoAAEb3E9gBwsuBIEB-qX33QBAAeuXV38R4wso" TargetMode="External"/><Relationship Id="rId198" Type="http://schemas.openxmlformats.org/officeDocument/2006/relationships/hyperlink" Target="https://www.linkedin.com/posts/swaimaahmad_leadershipinaction-publicspeakingmatters-activity-7358479078242340864-P3e8?utm_source=share&amp;utm_medium=member_desktop&amp;rcm=ACoAAEb3E9gBwsuBIEB-qX33QBAAeuXV38R4wso" TargetMode="External"/><Relationship Id="rId321" Type="http://schemas.openxmlformats.org/officeDocument/2006/relationships/hyperlink" Target="https://www.linkedin.com/posts/sadhanaa-executivecoach-speaker_authenticleadership-selfmastery-skills-activity-7411084116739362816-exmu?utm_source=share&amp;utm_medium=member_desktop&amp;rcm=ACoAAEb3E9gBwsuBIEB-qX33QBAAeuXV38R4wso" TargetMode="External"/><Relationship Id="rId342" Type="http://schemas.openxmlformats.org/officeDocument/2006/relationships/hyperlink" Target="https://www.linkedin.com/posts/sanskriti-agarwal-44161625a_had-the-privilege-to-interact-with-company-activity-7393142806657040384-N2F3?utm_source=share&amp;utm_medium=member_desktop&amp;rcm=ACoAAEb3E9gBwsuBIEB-qX33QBAAeuXV38R4wso" TargetMode="External"/><Relationship Id="rId202" Type="http://schemas.openxmlformats.org/officeDocument/2006/relationships/hyperlink" Target="https://www.linkedin.com/posts/monikalifezen_monikalifezen-lifecoaching-selfcare-activity-7402746936518443009-1aHl?utm_source=share&amp;utm_medium=member_desktop&amp;rcm=ACoAAEb3E9gBwsuBIEB-qX33QBAAeuXV38R4wso" TargetMode="External"/><Relationship Id="rId223" Type="http://schemas.openxmlformats.org/officeDocument/2006/relationships/hyperlink" Target="https://www.linkedin.com/in/pratik-patel-d21/" TargetMode="External"/><Relationship Id="rId244" Type="http://schemas.openxmlformats.org/officeDocument/2006/relationships/hyperlink" Target="https://www.linkedin.com/in/sadhanaa-executivecoach-speaker/" TargetMode="External"/><Relationship Id="rId18" Type="http://schemas.openxmlformats.org/officeDocument/2006/relationships/hyperlink" Target="https://www.linkedin.com/posts/shoaibahmed21_how-to-make-me-want-to-curl-into-a-ball-and-activity-7406987776312713217-lJU0?utm_source=share&amp;utm_medium=member_desktop&amp;rcm=ACoAAEb3E9gBwsuBIEB-qX33QBAAeuXV38R4wso" TargetMode="External"/><Relationship Id="rId39" Type="http://schemas.openxmlformats.org/officeDocument/2006/relationships/hyperlink" Target="https://www.linkedin.com/in/mridulapat/" TargetMode="External"/><Relationship Id="rId265" Type="http://schemas.openxmlformats.org/officeDocument/2006/relationships/hyperlink" Target="https://www.linkedin.com/posts/preeti-gandhi_just-soaking-in-the-season-the-stillness-activity-7409865905272262656-4yFW?utm_source=share&amp;utm_medium=member_desktop&amp;rcm=ACoAAEb3E9gBwsuBIEB-qX33QBAAeuXV38R4wso" TargetMode="External"/><Relationship Id="rId286" Type="http://schemas.openxmlformats.org/officeDocument/2006/relationships/hyperlink" Target="https://www.linkedin.com/posts/georgiastjohnsmith_last-christmas-i-made-a-secret-wish-ugcPost-7409748713193193472--XZk?utm_source=share&amp;utm_medium=member_desktop&amp;rcm=ACoAAEb3E9gBwsuBIEB-qX33QBAAeuXV38R4wso" TargetMode="External"/><Relationship Id="rId50" Type="http://schemas.openxmlformats.org/officeDocument/2006/relationships/hyperlink" Target="https://www.linkedin.com/posts/silvia-young-dobbertin-3a603817_certificate-of-completion-activity-6904882953693077504-OFIT?utm_source=share&amp;utm_medium=member_desktop&amp;rcm=ACoAAEb3E9gBwsuBIEB-qX33QBAAeuXV38R4wso" TargetMode="External"/><Relationship Id="rId104" Type="http://schemas.openxmlformats.org/officeDocument/2006/relationships/hyperlink" Target="https://www.linkedin.com/posts/diane-integrates_if-you-think-coaching-is-only-for-newer-coos-activity-7407035088057626625-H5LT?utm_source=share&amp;utm_medium=member_desktop&amp;rcm=ACoAAEb3E9gBwsuBIEB-qX33QBAAeuXV38R4wso" TargetMode="External"/><Relationship Id="rId125" Type="http://schemas.openxmlformats.org/officeDocument/2006/relationships/hyperlink" Target="https://www.linkedin.com/in/grant-dowsett-success-mindset-coach/" TargetMode="External"/><Relationship Id="rId146" Type="http://schemas.openxmlformats.org/officeDocument/2006/relationships/hyperlink" Target="https://www.linkedin.com/posts/aundreadeleon_theres-a-moment-in-coaching-when-everything-activity-7406393084059709440-1PeD?utm_source=share&amp;utm_medium=member_desktop&amp;rcm=ACoAAEb3E9gBwsuBIEB-qX33QBAAeuXV38R4wso" TargetMode="External"/><Relationship Id="rId167" Type="http://schemas.openxmlformats.org/officeDocument/2006/relationships/hyperlink" Target="https://www.linkedin.com/feed/update/urn:li:activity:7409440068005982209?utm_source=share&amp;utm_medium=member_desktop&amp;rcm=ACoAAEb3E9gBwsuBIEB-qX33QBAAeuXV38R4wso" TargetMode="External"/><Relationship Id="rId188" Type="http://schemas.openxmlformats.org/officeDocument/2006/relationships/hyperlink" Target="https://www.linkedin.com/posts/cathy-du_today-is-my-first-day-at-operto-as-senior-activity-7337870004891119618-ObUf?utm_source=share&amp;utm_medium=member_desktop&amp;rcm=ACoAAEb3E9gBwsuBIEB-qX33QBAAeuXV38R4wso" TargetMode="External"/><Relationship Id="rId311" Type="http://schemas.openxmlformats.org/officeDocument/2006/relationships/hyperlink" Target="https://www.linkedin.com/posts/rajatrkkhatri_failures-successful-leadership-activity-7413787589050241024-sm9z?utm_source=share&amp;utm_medium=member_desktop&amp;rcm=ACoAAEb3E9gBwsuBIEB-qX33QBAAeuXV38R4wso" TargetMode="External"/><Relationship Id="rId332" Type="http://schemas.openxmlformats.org/officeDocument/2006/relationships/hyperlink" Target="https://www.linkedin.com/posts/divyeshwani_marketing-aimarketing-marketingautomation-activity-7410295729786617856-R8L0?utm_source=share&amp;utm_medium=member_desktop&amp;rcm=ACoAAEb3E9gBwsuBIEB-qX33QBAAeuXV38R4wso" TargetMode="External"/><Relationship Id="rId71" Type="http://schemas.openxmlformats.org/officeDocument/2006/relationships/hyperlink" Target="https://www.linkedin.com/posts/maria-fernanda-rodr%C3%ADguez-mackay-76658a177_scaleup-mastermind-febrero-26-activity-7298002400412319744-fwLF?utm_source=share&amp;utm_medium=member_desktop&amp;rcm=ACoAAEb3E9gBwsuBIEB-qX33QBAAeuXV38R4wso" TargetMode="External"/><Relationship Id="rId92" Type="http://schemas.openxmlformats.org/officeDocument/2006/relationships/hyperlink" Target="https://www.linkedin.com/posts/katy24c_most-people-think-exercise-is-about-aesthetics-activity-7408144332358090752-ydjn?utm_source=share&amp;utm_medium=member_desktop&amp;rcm=ACoAAEb3E9gBwsuBIEB-qX33QBAAeuXV38R4wso" TargetMode="External"/><Relationship Id="rId213" Type="http://schemas.openxmlformats.org/officeDocument/2006/relationships/hyperlink" Target="https://www.linkedin.com/in/cashivani/" TargetMode="External"/><Relationship Id="rId234" Type="http://schemas.openxmlformats.org/officeDocument/2006/relationships/hyperlink" Target="https://www.linkedin.com/in/soni-singh-nlpcoach/" TargetMode="External"/><Relationship Id="rId2" Type="http://schemas.openxmlformats.org/officeDocument/2006/relationships/hyperlink" Target="https://www.linkedin.com/posts/funmifatonaayowole_soulmomentum-mentalhealth-alignment-activity-7404941053859987456-IhHA?utm_source=share&amp;utm_medium=member_desktop&amp;rcm=ACoAAEb3E9gBwsuBIEB-qX33QBAAeuXV38R4wso" TargetMode="External"/><Relationship Id="rId29" Type="http://schemas.openxmlformats.org/officeDocument/2006/relationships/hyperlink" Target="https://www.linkedin.com/in/silvia-young-dobbertin-3a603817/" TargetMode="External"/><Relationship Id="rId255" Type="http://schemas.openxmlformats.org/officeDocument/2006/relationships/hyperlink" Target="https://www.linkedin.com/posts/shivam-lalchandani-6642261b7_friday-attention-undivided-activity-7412851471462981632-2ZsQ?utm_source=share&amp;utm_medium=member_desktop&amp;rcm=ACoAAEb3E9gBwsuBIEB-qX33QBAAeuXV38R4wso" TargetMode="External"/><Relationship Id="rId276" Type="http://schemas.openxmlformats.org/officeDocument/2006/relationships/hyperlink" Target="https://www.linkedin.com/posts/soni-singh-nlpcoach_happy-new-year-2026-may-this-new-activity-7412214537430626304-1o5e?utm_source=share&amp;utm_medium=member_desktop&amp;rcm=ACoAAEb3E9gBwsuBIEB-qX33QBAAeuXV38R4wso" TargetMode="External"/><Relationship Id="rId297" Type="http://schemas.openxmlformats.org/officeDocument/2006/relationships/hyperlink" Target="https://www.linkedin.com/posts/shreshthamittal_happydiwali-hope-resilience-activity-7386995644596563968-vhS3?utm_source=share&amp;utm_medium=member_desktop&amp;rcm=ACoAAEb3E9gBwsuBIEB-qX33QBAAeuXV38R4wso" TargetMode="External"/><Relationship Id="rId40" Type="http://schemas.openxmlformats.org/officeDocument/2006/relationships/hyperlink" Target="https://www.linkedin.com/posts/americanaires_aires-head-of-social-and-community-ugcPost-7383958761985675264-EArw?utm_source=share&amp;utm_medium=member_desktop&amp;rcm=ACoAAEb3E9gBwsuBIEB-qX33QBAAeuXV38R4wso" TargetMode="External"/><Relationship Id="rId115" Type="http://schemas.openxmlformats.org/officeDocument/2006/relationships/hyperlink" Target="https://www.linkedin.com/posts/monicaverma_feb-this-year-a-peer-told-me-outright-to-activity-7406048906830045184-ScRM?utm_source=share&amp;utm_medium=member_desktop&amp;rcm=ACoAAEb3E9gBwsuBIEB-qX33QBAAeuXV38R4wso" TargetMode="External"/><Relationship Id="rId136" Type="http://schemas.openxmlformats.org/officeDocument/2006/relationships/hyperlink" Target="https://www.linkedin.com/posts/americodacosta_inspired-by-brooke-miles-this-topic-has-activity-7407510585900199936-Thjy?utm_source=share&amp;utm_medium=member_desktop&amp;rcm=ACoAAEb3E9gBwsuBIEB-qX33QBAAeuXV38R4wso" TargetMode="External"/><Relationship Id="rId157" Type="http://schemas.openxmlformats.org/officeDocument/2006/relationships/hyperlink" Target="https://www.linkedin.com/in/makethegradewithjade/" TargetMode="External"/><Relationship Id="rId178" Type="http://schemas.openxmlformats.org/officeDocument/2006/relationships/hyperlink" Target="https://www.linkedin.com/posts/alyssasmithcoaching_before-you-count-down-the-minutes-to-school-activity-7407766868284907520--_Ay?utm_source=share&amp;utm_medium=member_desktop&amp;rcm=ACoAAEb3E9gBwsuBIEB-qX33QBAAeuXV38R4wso" TargetMode="External"/><Relationship Id="rId301" Type="http://schemas.openxmlformats.org/officeDocument/2006/relationships/hyperlink" Target="https://www.linkedin.com/posts/roli-kesarwani_visualthinkingschool-leadership-womendays-activity-7304119249675980800-KDhc?utm_source=share&amp;utm_medium=member_desktop&amp;rcm=ACoAAEb3E9gBwsuBIEB-qX33QBAAeuXV38R4wso" TargetMode="External"/><Relationship Id="rId322" Type="http://schemas.openxmlformats.org/officeDocument/2006/relationships/hyperlink" Target="https://www.linkedin.com/posts/sadhanaa-executivecoach-speaker_values-intelligence-loyalty-activity-7403995412581261312-MBEX?utm_source=share&amp;utm_medium=member_desktop&amp;rcm=ACoAAEb3E9gBwsuBIEB-qX33QBAAeuXV38R4wso" TargetMode="External"/><Relationship Id="rId61" Type="http://schemas.openxmlformats.org/officeDocument/2006/relationships/hyperlink" Target="https://www.linkedin.com/posts/arteevedula_thrivewithartee-emotionalintelligence-empathy-activity-7407072553078497281-23p8?utm_source=share&amp;utm_medium=member_desktop&amp;rcm=ACoAAEb3E9gBwsuBIEB-qX33QBAAeuXV38R4wso" TargetMode="External"/><Relationship Id="rId82" Type="http://schemas.openxmlformats.org/officeDocument/2006/relationships/hyperlink" Target="https://www.linkedin.com/posts/bridget-g-walton_workplacewellness-womeninsales-hormonebalance-activity-7325553417454571522-PSOb?utm_source=share&amp;utm_medium=member_desktop&amp;rcm=ACoAAEb3E9gBwsuBIEB-qX33QBAAeuXV38R4wso" TargetMode="External"/><Relationship Id="rId199" Type="http://schemas.openxmlformats.org/officeDocument/2006/relationships/hyperlink" Target="https://www.linkedin.com/posts/swaimaahmad_teachertraining-gratitude-fullcirclemoment-activity-7352045458959056896--DNA?utm_source=share&amp;utm_medium=member_desktop&amp;rcm=ACoAAEb3E9gBwsuBIEB-qX33QBAAeuXV38R4wso" TargetMode="External"/><Relationship Id="rId203" Type="http://schemas.openxmlformats.org/officeDocument/2006/relationships/hyperlink" Target="https://www.linkedin.com/posts/monikalifezen_careergrowth-learningjourney-digitaltransformationgowithnikita-activity-7401806636522360837-ZU-d?utm_source=share&amp;utm_medium=member_desktop&amp;rcm=ACoAAEb3E9gBwsuBIEB-qX33QBAAeuXV38R4wso" TargetMode="External"/><Relationship Id="rId19" Type="http://schemas.openxmlformats.org/officeDocument/2006/relationships/hyperlink" Target="https://www.linkedin.com/posts/shoaibahmed21_how-to-make-me-want-to-curl-into-a-ball-and-activity-7406987776312713217-lJU0?utm_source=share&amp;utm_medium=member_desktop&amp;rcm=ACoAAEb3E9gBwsuBIEB-qX33QBAAeuXV38R4wso" TargetMode="External"/><Relationship Id="rId224" Type="http://schemas.openxmlformats.org/officeDocument/2006/relationships/hyperlink" Target="https://www.linkedin.com/posts/pratik-patel-d21_most-coachesconsultants-and-founders-don-activity-7408101402440421376-0_T7?utm_source=share&amp;utm_medium=member_desktop&amp;rcm=ACoAAEb3E9gBwsuBIEB-qX33QBAAeuXV38R4wso" TargetMode="External"/><Relationship Id="rId245" Type="http://schemas.openxmlformats.org/officeDocument/2006/relationships/hyperlink" Target="https://www.linkedin.com/in/gaurav-bansod-phd-03704535/" TargetMode="External"/><Relationship Id="rId266" Type="http://schemas.openxmlformats.org/officeDocument/2006/relationships/hyperlink" Target="https://www.linkedin.com/posts/kasheshchhabbria_happiness-mindfulnesspractice-relationshipskills-activity-7150691810187681792-zxVo?utm_source=share&amp;utm_medium=member_desktop&amp;rcm=ACoAAEb3E9gBwsuBIEB-qX33QBAAeuXV38R4wso" TargetMode="External"/><Relationship Id="rId287" Type="http://schemas.openxmlformats.org/officeDocument/2006/relationships/hyperlink" Target="https://www.linkedin.com/posts/georgiastjohnsmith_you-kinda-sht-yourself-at-the-beginning-ugcPost-7409523540506419200-NJhu?utm_source=share&amp;utm_medium=member_desktop&amp;rcm=ACoAAEb3E9gBwsuBIEB-qX33QBAAeuXV38R4wso" TargetMode="External"/><Relationship Id="rId30" Type="http://schemas.openxmlformats.org/officeDocument/2006/relationships/hyperlink" Target="https://www.linkedin.com/in/quiana-brown-layol/" TargetMode="External"/><Relationship Id="rId105" Type="http://schemas.openxmlformats.org/officeDocument/2006/relationships/hyperlink" Target="https://www.linkedin.com/posts/diane-integrates_i-didnt-expect-to-be-so-lonely-feels-activity-7406672196833550336-tWTi?utm_source=share&amp;utm_medium=member_desktop&amp;rcm=ACoAAEb3E9gBwsuBIEB-qX33QBAAeuXV38R4wso" TargetMode="External"/><Relationship Id="rId126" Type="http://schemas.openxmlformats.org/officeDocument/2006/relationships/hyperlink" Target="https://www.linkedin.com/in/andreapetrone/" TargetMode="External"/><Relationship Id="rId147" Type="http://schemas.openxmlformats.org/officeDocument/2006/relationships/hyperlink" Target="https://www.linkedin.com/posts/aundreadeleon_a-series-for-coaches-who-want-to-discover-activity-7405575667486154752-W5JD?utm_source=share&amp;utm_medium=member_desktop&amp;rcm=ACoAAEb3E9gBwsuBIEB-qX33QBAAeuXV38R4wso" TargetMode="External"/><Relationship Id="rId168" Type="http://schemas.openxmlformats.org/officeDocument/2006/relationships/hyperlink" Target="https://www.linkedin.com/feed/update/urn:li:activity:7409439944978493440?utm_source=share&amp;utm_medium=member_desktop&amp;rcm=ACoAAEb3E9gBwsuBIEB-qX33QBAAeuXV38R4wso" TargetMode="External"/><Relationship Id="rId312" Type="http://schemas.openxmlformats.org/officeDocument/2006/relationships/hyperlink" Target="https://www.linkedin.com/posts/rajatrkkhatri_do-this-activity-7413432744157970432-rbZl?utm_source=share&amp;utm_medium=member_desktop&amp;rcm=ACoAAEb3E9gBwsuBIEB-qX33QBAAeuXV38R4wso" TargetMode="External"/><Relationship Id="rId333" Type="http://schemas.openxmlformats.org/officeDocument/2006/relationships/hyperlink" Target="https://www.linkedin.com/posts/deepakgawas_aiinmarketing-activity-7402704238725738496-8RNF?utm_source=share&amp;utm_medium=member_desktop&amp;rcm=ACoAAEb3E9gBwsuBIEB-qX33QBAAeuXV38R4wso" TargetMode="External"/><Relationship Id="rId51" Type="http://schemas.openxmlformats.org/officeDocument/2006/relationships/hyperlink" Target="https://www.linkedin.com/posts/silvia-young-dobbertin-3a603817_leadership-authority-activity-6872243734344450048-0i3t?utm_source=share&amp;utm_medium=member_desktop&amp;rcm=ACoAAEb3E9gBwsuBIEB-qX33QBAAeuXV38R4wso" TargetMode="External"/><Relationship Id="rId72" Type="http://schemas.openxmlformats.org/officeDocument/2006/relationships/hyperlink" Target="https://www.linkedin.com/posts/successful-women-canada-society_successfulwomencanada-latinaentrepreneurs-ugcPost-7260005247517904900-E19u?utm_source=share&amp;utm_medium=member_desktop&amp;rcm=ACoAAEb3E9gBwsuBIEB-qX33QBAAeuXV38R4wso" TargetMode="External"/><Relationship Id="rId93" Type="http://schemas.openxmlformats.org/officeDocument/2006/relationships/hyperlink" Target="https://www.linkedin.com/posts/chris-stambolidis_what-gets-executives-pushed-out-of-their-activity-7408627362428465152-8q_L?utm_source=share&amp;utm_medium=member_desktop&amp;rcm=ACoAAEb3E9gBwsuBIEB-qX33QBAAeuXV38R4wso" TargetMode="External"/><Relationship Id="rId189" Type="http://schemas.openxmlformats.org/officeDocument/2006/relationships/hyperlink" Target="https://www.linkedin.com/posts/lukehaythorpe_this-is-an-end-of-year-address-for-those-activity-7409391262191185921-RPZV?utm_source=share&amp;utm_medium=member_desktop&amp;rcm=ACoAAEb3E9gBwsuBIEB-qX33QBAAeuXV38R4wso" TargetMode="External"/><Relationship Id="rId3" Type="http://schemas.openxmlformats.org/officeDocument/2006/relationships/hyperlink" Target="https://www.linkedin.com/posts/funmifatonaayowole_momsroundtable11-momsroundtable-momsroundtable-activity-7401856202374381568-lNKd?utm_source=share&amp;utm_medium=member_desktop&amp;rcm=ACoAAEb3E9gBwsuBIEB-qX33QBAAeuXV38R4wso" TargetMode="External"/><Relationship Id="rId214" Type="http://schemas.openxmlformats.org/officeDocument/2006/relationships/hyperlink" Target="https://www.linkedin.com/in/wilfred-shreyas-788006105/" TargetMode="External"/><Relationship Id="rId235" Type="http://schemas.openxmlformats.org/officeDocument/2006/relationships/hyperlink" Target="https://www.linkedin.com/in/lifecoachdrsalonisingh/" TargetMode="External"/><Relationship Id="rId256" Type="http://schemas.openxmlformats.org/officeDocument/2006/relationships/hyperlink" Target="https://www.linkedin.com/posts/shivam-lalchandani-6642261b7_newyear-impact-love-activity-7412663927974694912-ZEZh?utm_source=share&amp;utm_medium=member_desktop&amp;rcm=ACoAAEb3E9gBwsuBIEB-qX33QBAAeuXV38R4wso" TargetMode="External"/><Relationship Id="rId277" Type="http://schemas.openxmlformats.org/officeDocument/2006/relationships/hyperlink" Target="https://www.linkedin.com/posts/soni-singh-nlpcoach_%F0%9D%90%83%F0%9D%90%9A%F0%9D%90%B2-%F0%9D%9F%97-%F0%9D%90%91%F0%9D%90%9E%F0%9D%90%A5%F0%9D%90%9A%F0%9D%90%AD%F0%9D%90%A2%F0%9D%90%A8%F0%9D%90%A7%F0%9D%90%AC%F0%9D%90%A1%F0%9D%90%A2%F0%9D%90%A9-%F0%9D%90%91-activity-7406725678449987584-Uebv?utm_source=share&amp;utm_medium=member_desktop&amp;rcm=ACoAAEb3E9gBwsuBIEB-qX33QBAAeuXV38R4wso" TargetMode="External"/><Relationship Id="rId298" Type="http://schemas.openxmlformats.org/officeDocument/2006/relationships/hyperlink" Target="https://www.linkedin.com/posts/shreshthamittal_resilience-wellbeing-leadership-activity-7383732987424583680-nSxm?utm_source=share&amp;utm_medium=member_desktop&amp;rcm=ACoAAEb3E9gBwsuBIEB-qX33QBAAeuXV38R4wso" TargetMode="External"/><Relationship Id="rId116" Type="http://schemas.openxmlformats.org/officeDocument/2006/relationships/hyperlink" Target="https://www.linkedin.com/posts/monicaverma_feb-this-year-a-peer-told-me-outright-to-activity-7406048906830045184-ScRM?utm_source=share&amp;utm_medium=member_desktop&amp;rcm=ACoAAEb3E9gBwsuBIEB-qX33QBAAeuXV38R4wso" TargetMode="External"/><Relationship Id="rId137" Type="http://schemas.openxmlformats.org/officeDocument/2006/relationships/hyperlink" Target="https://www.linkedin.com/posts/grant-dowsett-success-mindset-coach_subconsciousmind-mindset-selfimprovement-activity-7408757331393515521-sFU3?utm_source=share&amp;utm_medium=member_desktop&amp;rcm=ACoAAEb3E9gBwsuBIEB-qX33QBAAeuXV38R4wso" TargetMode="External"/><Relationship Id="rId158" Type="http://schemas.openxmlformats.org/officeDocument/2006/relationships/hyperlink" Target="https://www.linkedin.com/in/cathy-du/" TargetMode="External"/><Relationship Id="rId302" Type="http://schemas.openxmlformats.org/officeDocument/2006/relationships/hyperlink" Target="https://www.linkedin.com/posts/roli-kesarwani_ronkaufman-pss2025-upliftingservice-activity-7302523196111527936--VuZ?utm_source=share&amp;utm_medium=member_desktop&amp;rcm=ACoAAEb3E9gBwsuBIEB-qX33QBAAeuXV38R4wso" TargetMode="External"/><Relationship Id="rId323" Type="http://schemas.openxmlformats.org/officeDocument/2006/relationships/hyperlink" Target="https://www.linkedin.com/posts/gaurav-bansod-phd-03704535_identityshield-summit-26httpslnkdin-activity-7413165005732315136-iL0X?utm_source=share&amp;utm_medium=member_desktop&amp;rcm=ACoAAEb3E9gBwsuBIEB-qX33QBAAeuXV38R4wso" TargetMode="External"/><Relationship Id="rId20" Type="http://schemas.openxmlformats.org/officeDocument/2006/relationships/hyperlink" Target="https://www.linkedin.com/posts/shoaibahmed21_how-to-make-me-want-to-curl-into-a-ball-and-activity-7406987776312713217-lJU0?utm_source=share&amp;utm_medium=member_desktop&amp;rcm=ACoAAEb3E9gBwsuBIEB-qX33QBAAeuXV38R4wso" TargetMode="External"/><Relationship Id="rId41" Type="http://schemas.openxmlformats.org/officeDocument/2006/relationships/hyperlink" Target="https://www.linkedin.com/posts/thatbobbyg_stop-1-of-the-aires-brainwave-tour-is-in-activity-7380998292630827008-3p1j?utm_source=share&amp;utm_medium=member_desktop&amp;rcm=ACoAAEb3E9gBwsuBIEB-qX33QBAAeuXV38R4wso" TargetMode="External"/><Relationship Id="rId62" Type="http://schemas.openxmlformats.org/officeDocument/2006/relationships/hyperlink" Target="https://www.linkedin.com/posts/arteevedula_when-i-ask-my-clients-who-are-you-in-your-activity-7407069664540971008-N3RV?utm_source=share&amp;utm_medium=member_desktop&amp;rcm=ACoAAEb3E9gBwsuBIEB-qX33QBAAeuXV38R4wso" TargetMode="External"/><Relationship Id="rId83" Type="http://schemas.openxmlformats.org/officeDocument/2006/relationships/hyperlink" Target="https://www.linkedin.com/in/hollowayanthony/" TargetMode="External"/><Relationship Id="rId179" Type="http://schemas.openxmlformats.org/officeDocument/2006/relationships/hyperlink" Target="https://www.linkedin.com/posts/alyssasmithcoaching_total-times-i-sent-a-kid-to-the-principal-activity-7407400523953422336-6BTx?utm_source=share&amp;utm_medium=member_desktop&amp;rcm=ACoAAEb3E9gBwsuBIEB-qX33QBAAeuXV38R4wso" TargetMode="External"/><Relationship Id="rId190" Type="http://schemas.openxmlformats.org/officeDocument/2006/relationships/hyperlink" Target="https://www.linkedin.com/posts/lukehaythorpe_notes-from-the-orangery-activity-7408998654499557376-2dlo?utm_source=share&amp;utm_medium=member_desktop&amp;rcm=ACoAAEb3E9gBwsuBIEB-qX33QBAAeuXV38R4wso" TargetMode="External"/><Relationship Id="rId204" Type="http://schemas.openxmlformats.org/officeDocument/2006/relationships/hyperlink" Target="https://www.linkedin.com/posts/monikalifezen_monikalifezen-lifecoaching-wellness-ugcPost-7398608042268790784-DgK9?utm_source=share&amp;utm_medium=member_desktop&amp;rcm=ACoAAEb3E9gBwsuBIEB-qX33QBAAeuXV38R4wso" TargetMode="External"/><Relationship Id="rId225" Type="http://schemas.openxmlformats.org/officeDocument/2006/relationships/hyperlink" Target="https://www.linkedin.com/posts/pratik-patel-d21_workshop-event-leadgeneration-activity-7407856165268672512-7-aj?utm_source=share&amp;utm_medium=member_desktop&amp;rcm=ACoAAEb3E9gBwsuBIEB-qX33QBAAeuXV38R4wso" TargetMode="External"/><Relationship Id="rId246" Type="http://schemas.openxmlformats.org/officeDocument/2006/relationships/hyperlink" Target="https://www.linkedin.com/in/harneet-kaur-kohli/" TargetMode="External"/><Relationship Id="rId267" Type="http://schemas.openxmlformats.org/officeDocument/2006/relationships/hyperlink" Target="https://www.linkedin.com/posts/kasheshchhabbria_powerfulwomen-mindsetmatters-motivation-activity-6849605005369069569-NzZG?utm_source=share&amp;utm_medium=member_desktop&amp;rcm=ACoAAEb3E9gBwsuBIEB-qX33QBAAeuXV38R4wso" TargetMode="External"/><Relationship Id="rId288" Type="http://schemas.openxmlformats.org/officeDocument/2006/relationships/hyperlink" Target="https://www.linkedin.com/posts/georgiastjohnsmith_if-i-can-admit-one-thing-about-myself-it-activity-7404430209283944448-8S4L?utm_source=share&amp;utm_medium=member_desktop&amp;rcm=ACoAAEb3E9gBwsuBIEB-qX33QBAAeuXV38R4wso" TargetMode="External"/><Relationship Id="rId106" Type="http://schemas.openxmlformats.org/officeDocument/2006/relationships/hyperlink" Target="https://www.linkedin.com/posts/diane-integrates_the-biggest-upgrade-to-his-relationship-with-activity-7406312572976521216-Df96?utm_source=share&amp;utm_medium=member_desktop&amp;rcm=ACoAAEb3E9gBwsuBIEB-qX33QBAAeuXV38R4wso" TargetMode="External"/><Relationship Id="rId127" Type="http://schemas.openxmlformats.org/officeDocument/2006/relationships/hyperlink" Target="https://www.linkedin.com/in/aundreadeleon/" TargetMode="External"/><Relationship Id="rId313" Type="http://schemas.openxmlformats.org/officeDocument/2006/relationships/hyperlink" Target="https://www.linkedin.com/posts/rajatrkkhatri_toxic-boss-activity-7413062821439143936-dR04?utm_source=share&amp;utm_medium=member_desktop&amp;rcm=ACoAAEb3E9gBwsuBIEB-qX33QBAAeuXV38R4wso" TargetMode="External"/><Relationship Id="rId10" Type="http://schemas.openxmlformats.org/officeDocument/2006/relationships/hyperlink" Target="https://www.linkedin.com/in/jgirdhar/" TargetMode="External"/><Relationship Id="rId31" Type="http://schemas.openxmlformats.org/officeDocument/2006/relationships/hyperlink" Target="https://www.linkedin.com/in/shafer-stedron-4b7a19263/" TargetMode="External"/><Relationship Id="rId52" Type="http://schemas.openxmlformats.org/officeDocument/2006/relationships/hyperlink" Target="https://www.linkedin.com/posts/quiana-brown-layol_layolliving-energyawareness-mindfulhealing-activity-7407759146252636160-LJob?utm_source=share&amp;utm_medium=member_desktop&amp;rcm=ACoAAEb3E9gBwsuBIEB-qX33QBAAeuXV38R4wso" TargetMode="External"/><Relationship Id="rId73" Type="http://schemas.openxmlformats.org/officeDocument/2006/relationships/hyperlink" Target="https://www.linkedin.com/posts/maria-fernanda-rodr%C3%ADguez-mackay-76658a177_we-made-it-to-the-final-im-so-thankful-activity-7259958004068806656-zTWk?utm_source=share&amp;utm_medium=member_desktop&amp;rcm=ACoAAEb3E9gBwsuBIEB-qX33QBAAeuXV38R4wso" TargetMode="External"/><Relationship Id="rId94" Type="http://schemas.openxmlformats.org/officeDocument/2006/relationships/hyperlink" Target="https://www.linkedin.com/posts/chris-stambolidis_how-to-talk-about-being-laid-off-activity-7408491682582786048-5F9q?utm_source=share&amp;utm_medium=member_desktop&amp;rcm=ACoAAEb3E9gBwsuBIEB-qX33QBAAeuXV38R4wso" TargetMode="External"/><Relationship Id="rId148" Type="http://schemas.openxmlformats.org/officeDocument/2006/relationships/hyperlink" Target="https://www.linkedin.com/posts/aundreadeleon_if-i-could-only-do-one-thing-daily-it-would-activity-7394133573714440192-NLGs?utm_source=share&amp;utm_medium=member_desktop&amp;rcm=ACoAAEb3E9gBwsuBIEB-qX33QBAAeuXV38R4wso" TargetMode="External"/><Relationship Id="rId169" Type="http://schemas.openxmlformats.org/officeDocument/2006/relationships/hyperlink" Target="https://www.linkedin.com/posts/sewchoinkowski_most-people-dont-struggle-because-they-lack-activity-7407791903607476225-p_xB?utm_source=share&amp;utm_medium=member_desktop&amp;rcm=ACoAAEb3E9gBwsuBIEB-qX33QBAAeuXV38R4wso" TargetMode="External"/><Relationship Id="rId334" Type="http://schemas.openxmlformats.org/officeDocument/2006/relationships/hyperlink" Target="https://www.linkedin.com/posts/divyeshwani_im-happy-to-share-that-ive-obtained-a-new-activity-7400534445977538560-zuGk?utm_source=share&amp;utm_medium=member_desktop&amp;rcm=ACoAAEb3E9gBwsuBIEB-qX33QBAAeuXV38R4wso" TargetMode="External"/><Relationship Id="rId4" Type="http://schemas.openxmlformats.org/officeDocument/2006/relationships/hyperlink" Target="https://www.linkedin.com/posts/funmifatonaayowole_workplacewellness-collaboration-hrstrategy-activity-7400201840300240897-bCeG?utm_source=share&amp;utm_medium=member_desktop&amp;rcm=ACoAAEb3E9gBwsuBIEB-qX33QBAAeuXV38R4wso" TargetMode="External"/><Relationship Id="rId180" Type="http://schemas.openxmlformats.org/officeDocument/2006/relationships/hyperlink" Target="https://www.linkedin.com/posts/alyssasmithcoaching_i-used-to-think-rewards-and-consequences-activity-7406675748616577024-_urD?utm_source=share&amp;utm_medium=member_desktop&amp;rcm=ACoAAEb3E9gBwsuBIEB-qX33QBAAeuXV38R4wso" TargetMode="External"/><Relationship Id="rId215" Type="http://schemas.openxmlformats.org/officeDocument/2006/relationships/hyperlink" Target="https://www.linkedin.com/posts/wilfred-shreyas-788006105_had-the-privilege-of-delivering-a-seminar-activity-7392805831206952960-1qaD?utm_source=share&amp;utm_medium=member_desktop&amp;rcm=ACoAAEb3E9gBwsuBIEB-qX33QBAAeuXV38R4wso" TargetMode="External"/><Relationship Id="rId236" Type="http://schemas.openxmlformats.org/officeDocument/2006/relationships/hyperlink" Target="https://www.linkedin.com/in/vinod-kr-choubey-vkcthecoach-678603a0/" TargetMode="External"/><Relationship Id="rId257" Type="http://schemas.openxmlformats.org/officeDocument/2006/relationships/hyperlink" Target="https://www.linkedin.com/posts/shivam-lalchandani-6642261b7_newyear-opportunities-growth-activity-7412482733911937024-mMTl?utm_source=share&amp;utm_medium=member_desktop&amp;rcm=ACoAAEb3E9gBwsuBIEB-qX33QBAAeuXV38R4wso" TargetMode="External"/><Relationship Id="rId278" Type="http://schemas.openxmlformats.org/officeDocument/2006/relationships/hyperlink" Target="https://www.linkedin.com/posts/lifecoachdrsalonisingh_linkedinfamily-unbecoming-healing-activity-7412713673774866432-W8Gm?utm_source=share&amp;utm_medium=member_desktop&amp;rcm=ACoAAEb3E9gBwsuBIEB-qX33QBAAeuXV38R4wso" TargetMode="External"/><Relationship Id="rId303" Type="http://schemas.openxmlformats.org/officeDocument/2006/relationships/hyperlink" Target="https://www.linkedin.com/posts/winaypatil_chiefguest-davanagere-vishwachetana-activity-7411427164333457408-SL0T?utm_source=share&amp;utm_medium=member_desktop&amp;rcm=ACoAAEb3E9gBwsuBIEB-qX33QBAAeuXV38R4wso" TargetMode="External"/><Relationship Id="rId42" Type="http://schemas.openxmlformats.org/officeDocument/2006/relationships/hyperlink" Target="https://www.linkedin.com/posts/cybruni_one-of-my-clients-recent-partnerships-just-activity-7376396152897794048-m5AI?utm_source=share&amp;utm_medium=member_desktop&amp;rcm=ACoAAEb3E9gBwsuBIEB-qX33QBAAeuXV38R4wso" TargetMode="External"/><Relationship Id="rId84" Type="http://schemas.openxmlformats.org/officeDocument/2006/relationships/hyperlink" Target="https://www.linkedin.com/in/katy24c/" TargetMode="External"/><Relationship Id="rId138" Type="http://schemas.openxmlformats.org/officeDocument/2006/relationships/hyperlink" Target="https://www.linkedin.com/posts/grant-dowsett-success-mindset-coach_mindset-attraction-manifestation-activity-7407669439225139200-V_zP?utm_source=share&amp;utm_medium=member_desktop&amp;rcm=ACoAAEb3E9gBwsuBIEB-qX33QBAAeuXV38R4wso" TargetMode="External"/><Relationship Id="rId191" Type="http://schemas.openxmlformats.org/officeDocument/2006/relationships/hyperlink" Target="https://www.linkedin.com/posts/lukehaythorpe_i-had-a-thought-i-needed-to-write-out-at-activity-7408669081320689665-K30Q?utm_source=share&amp;utm_medium=member_desktop&amp;rcm=ACoAAEb3E9gBwsuBIEB-qX33QBAAeuXV38R4wso" TargetMode="External"/><Relationship Id="rId205" Type="http://schemas.openxmlformats.org/officeDocument/2006/relationships/hyperlink" Target="https://www.linkedin.com/posts/drsaurabhpatil_closing-2025-with-gratitude-the-last-six-activity-7409140282178469888-w3EG?utm_source=share&amp;utm_medium=member_desktop&amp;rcm=ACoAAEb3E9gBwsuBIEB-qX33QBAAeuXV38R4wso" TargetMode="External"/><Relationship Id="rId247" Type="http://schemas.openxmlformats.org/officeDocument/2006/relationships/hyperlink" Target="https://www.linkedin.com/in/divyeshwani/" TargetMode="External"/><Relationship Id="rId107" Type="http://schemas.openxmlformats.org/officeDocument/2006/relationships/hyperlink" Target="https://www.linkedin.com/posts/paulrlewis1_heres-one-for-the-book-nerds-neat-freaks-activity-7408077478008868864-GE6I?utm_source=share&amp;utm_medium=member_desktop&amp;rcm=ACoAAEb3E9gBwsuBIEB-qX33QBAAeuXV38R4wso" TargetMode="External"/><Relationship Id="rId289" Type="http://schemas.openxmlformats.org/officeDocument/2006/relationships/hyperlink" Target="https://www.linkedin.com/posts/georgiastjohnsmith_linkedin-isnt-hard-posting-things-you-don-activity-7413851949630083072-FgLz?utm_source=share&amp;utm_medium=member_desktop&amp;rcm=ACoAAEb3E9gBwsuBIEB-qX33QBAAeuXV38R4wso" TargetMode="External"/><Relationship Id="rId11" Type="http://schemas.openxmlformats.org/officeDocument/2006/relationships/hyperlink" Target="https://www.linkedin.com/posts/shoaibahmed21_how-to-make-me-want-to-curl-into-a-ball-and-activity-7406987776312713217-lJU0?utm_source=share&amp;utm_medium=member_desktop&amp;rcm=ACoAAEb3E9gBwsuBIEB-qX33QBAAeuXV38R4wso" TargetMode="External"/><Relationship Id="rId53" Type="http://schemas.openxmlformats.org/officeDocument/2006/relationships/hyperlink" Target="https://www.linkedin.com/posts/quiana-brown-layol_layolliving-selfcompassionpractice-healingjourney-activity-7407396739332313089-x0mX?utm_source=share&amp;utm_medium=member_desktop&amp;rcm=ACoAAEb3E9gBwsuBIEB-qX33QBAAeuXV38R4wso" TargetMode="External"/><Relationship Id="rId149" Type="http://schemas.openxmlformats.org/officeDocument/2006/relationships/hyperlink" Target="https://www.linkedin.com/posts/tomcobin-dynamicoach_i-just-heard-a-great-framework-for-this-time-activity-7408913693087911936-SRue?utm_source=share&amp;utm_medium=member_desktop&amp;rcm=ACoAAEb3E9gBwsuBIEB-qX33QBAAeuXV38R4wso" TargetMode="External"/><Relationship Id="rId314" Type="http://schemas.openxmlformats.org/officeDocument/2006/relationships/hyperlink" Target="https://www.linkedin.com/posts/rajatrkkhatri_leadership-selfawareness-happinessatwork-activity-7412700418901938178-pgML?utm_source=share&amp;utm_medium=member_desktop&amp;rcm=ACoAAEb3E9gBwsuBIEB-qX33QBAAeuXV38R4wso" TargetMode="External"/><Relationship Id="rId95" Type="http://schemas.openxmlformats.org/officeDocument/2006/relationships/hyperlink" Target="https://www.linkedin.com/posts/chris-stambolidis_100-of-times-the-job-search-messes-with-activity-7408264948595867648--Fho?utm_source=share&amp;utm_medium=member_desktop&amp;rcm=ACoAAEb3E9gBwsuBIEB-qX33QBAAeuXV38R4wso" TargetMode="External"/><Relationship Id="rId160" Type="http://schemas.openxmlformats.org/officeDocument/2006/relationships/hyperlink" Target="https://www.linkedin.com/in/melindaeramirez/" TargetMode="External"/><Relationship Id="rId216" Type="http://schemas.openxmlformats.org/officeDocument/2006/relationships/hyperlink" Target="https://www.linkedin.com/posts/shobhashree-gk-55173a338_christuniversity-financeandleadershipcell-ugcPost-7391487371789225984-dIla?utm_source=share&amp;utm_medium=member_desktop&amp;rcm=ACoAAEb3E9gBwsuBIEB-qX33QBAAeuXV38R4wso" TargetMode="External"/><Relationship Id="rId258" Type="http://schemas.openxmlformats.org/officeDocument/2006/relationships/hyperlink" Target="https://www.linkedin.com/posts/coachshwetabajaj_professional-confidence-leadership-activity-7412712604051156993-aGzt?utm_source=share&amp;utm_medium=member_desktop&amp;rcm=ACoAAEb3E9gBwsuBIEB-qX33QBAAeuXV38R4wso" TargetMode="External"/><Relationship Id="rId22" Type="http://schemas.openxmlformats.org/officeDocument/2006/relationships/hyperlink" Target="https://www.linkedin.com/posts/shoaibahmed21_how-to-make-me-want-to-curl-into-a-ball-and-activity-7406987776312713217-lJU0?utm_source=share&amp;utm_medium=member_desktop&amp;rcm=ACoAAEb3E9gBwsuBIEB-qX33QBAAeuXV38R4wso" TargetMode="External"/><Relationship Id="rId64" Type="http://schemas.openxmlformats.org/officeDocument/2006/relationships/hyperlink" Target="https://www.linkedin.com/in/randybelham/" TargetMode="External"/><Relationship Id="rId118" Type="http://schemas.openxmlformats.org/officeDocument/2006/relationships/hyperlink" Target="https://www.linkedin.com/posts/monicaverma_we-have-been-and-most-still-are-doing-activity-7403517433149317120-FzLY?utm_source=share&amp;utm_medium=member_desktop&amp;rcm=ACoAAEb3E9gBwsuBIEB-qX33QBAAeuXV38R4wso" TargetMode="External"/><Relationship Id="rId325" Type="http://schemas.openxmlformats.org/officeDocument/2006/relationships/hyperlink" Target="https://www.linkedin.com/posts/gaurav-bansod-phd-03704535_identityshield2026-exhibitorspotlight-miniorange-activity-7410195863060504576-Jdc1?utm_source=share&amp;utm_medium=member_desktop&amp;rcm=ACoAAEb3E9gBwsuBIEB-qX33QBAAeuXV38R4wso" TargetMode="External"/><Relationship Id="rId171" Type="http://schemas.openxmlformats.org/officeDocument/2006/relationships/hyperlink" Target="https://www.linkedin.com/posts/sewchoinkowski_whats-interesting-is-that-each-of-our-hands-activity-7406404321682292736-XCOf?utm_source=share&amp;utm_medium=member_desktop&amp;rcm=ACoAAEb3E9gBwsuBIEB-qX33QBAAeuXV38R4wso" TargetMode="External"/><Relationship Id="rId227" Type="http://schemas.openxmlformats.org/officeDocument/2006/relationships/hyperlink" Target="https://www.linkedin.com/posts/pratik-patel-d21_i-ignored-short-form-video-for-way-too-long-activity-7406340876244934657-iuLi?utm_source=share&amp;utm_medium=member_desktop&amp;rcm=ACoAAEb3E9gBwsuBIEB-qX33QBAAeuXV38R4wso" TargetMode="External"/><Relationship Id="rId269" Type="http://schemas.openxmlformats.org/officeDocument/2006/relationships/hyperlink" Target="https://www.linkedin.com/posts/kasheshchhabbria_successmindset-courage-happiness-activity-6780433349094842368-qL0Q?utm_source=share&amp;utm_medium=member_desktop&amp;rcm=ACoAAEb3E9gBwsuBIEB-qX33QBAAeuXV38R4wso" TargetMode="External"/><Relationship Id="rId33" Type="http://schemas.openxmlformats.org/officeDocument/2006/relationships/hyperlink" Target="https://www.linkedin.com/in/edward-darling/" TargetMode="External"/><Relationship Id="rId129" Type="http://schemas.openxmlformats.org/officeDocument/2006/relationships/hyperlink" Target="https://www.linkedin.com/posts/brett-r-huntington_i-want-to-give-each-of-you-a-christmas-present-activity-7408917202512347136-2Q8Z?utm_source=share&amp;utm_medium=member_desktop&amp;rcm=ACoAAEb3E9gBwsuBIEB-qX33QBAAeuXV38R4wso" TargetMode="External"/><Relationship Id="rId280" Type="http://schemas.openxmlformats.org/officeDocument/2006/relationships/hyperlink" Target="https://www.linkedin.com/posts/lifecoachdrsalonisingh_i-recently-spent-5-days-at-a-retreat-in-goa-activity-7411632137994563584-bCN5?utm_source=share&amp;utm_medium=member_desktop&amp;rcm=ACoAAEb3E9gBwsuBIEB-qX33QBAAeuXV38R4wso" TargetMode="External"/><Relationship Id="rId336" Type="http://schemas.openxmlformats.org/officeDocument/2006/relationships/hyperlink" Target="https://www.linkedin.com/posts/sunny-thakur-lakshya-signages_we-recently-built-a-bulk-order-of-motorola-activity-7414161348055453696-BLSm?utm_source=share&amp;utm_medium=member_desktop&amp;rcm=ACoAAEb3E9gBwsuBIEB-qX33QBAAeuXV38R4wso" TargetMode="External"/><Relationship Id="rId75" Type="http://schemas.openxmlformats.org/officeDocument/2006/relationships/hyperlink" Target="https://www.linkedin.com/posts/edward-darling_some-of-the-proudest-moments-of-my-2025-activity-7405528169526689792-h6PH?utm_source=share&amp;utm_medium=member_desktop&amp;rcm=ACoAAEb3E9gBwsuBIEB-qX33QBAAeuXV38R4wso" TargetMode="External"/><Relationship Id="rId140" Type="http://schemas.openxmlformats.org/officeDocument/2006/relationships/hyperlink" Target="https://www.linkedin.com/posts/grant-dowsett-success-mindset-coach_activity-7406165734332145664-MSkm?utm_source=share&amp;utm_medium=member_desktop&amp;rcm=ACoAAEb3E9gBwsuBIEB-qX33QBAAeuXV38R4wso" TargetMode="External"/><Relationship Id="rId182" Type="http://schemas.openxmlformats.org/officeDocument/2006/relationships/hyperlink" Target="https://www.linkedin.com/posts/thomasfarley_chris-farleys-brother-remembers-the-comedian-activity-7407480324408004608-qPNB?utm_source=share&amp;utm_medium=member_desktop&amp;rcm=ACoAAEb3E9gBwsuBIEB-qX33QBAAeuXV38R4wso" TargetMode="External"/><Relationship Id="rId6" Type="http://schemas.openxmlformats.org/officeDocument/2006/relationships/hyperlink" Target="https://www.linkedin.com/posts/shoaibahmed21_how-to-make-me-want-to-curl-into-a-ball-and-activity-7406987776312713217-lJU0?utm_source=share&amp;utm_medium=member_desktop&amp;rcm=ACoAAEb3E9gBwsuBIEB-qX33QBAAeuXV38R4wso" TargetMode="External"/><Relationship Id="rId238" Type="http://schemas.openxmlformats.org/officeDocument/2006/relationships/hyperlink" Target="https://www.linkedin.com/in/shreshthamittal/" TargetMode="External"/><Relationship Id="rId291" Type="http://schemas.openxmlformats.org/officeDocument/2006/relationships/hyperlink" Target="https://www.linkedin.com/posts/raunak-rangwal-b245921b1_activity-7411792720437882880-eCMm?utm_source=share&amp;utm_medium=member_desktop&amp;rcm=ACoAAEb3E9gBwsuBIEB-qX33QBAAeuXV38R4wso" TargetMode="External"/><Relationship Id="rId305" Type="http://schemas.openxmlformats.org/officeDocument/2006/relationships/hyperlink" Target="https://www.linkedin.com/posts/winaypatil_scienceexhibition-jainsportsschool-chiefguest-activity-7410646661687046144-q31g?utm_source=share&amp;utm_medium=member_desktop&amp;rcm=ACoAAEb3E9gBwsuBIEB-qX33QBAAeuXV38R4wso" TargetMode="External"/><Relationship Id="rId44" Type="http://schemas.openxmlformats.org/officeDocument/2006/relationships/hyperlink" Target="https://www.linkedin.com/posts/activity-7341467512515022849-iRiQ?utm_source=share&amp;utm_medium=member_desktop&amp;rcm=ACoAAEb3E9gBwsuBIEB-qX33QBAAeuXV38R4wso" TargetMode="External"/><Relationship Id="rId86" Type="http://schemas.openxmlformats.org/officeDocument/2006/relationships/hyperlink" Target="https://www.linkedin.com/posts/hollowayanthony_this-is-me-healing-out-loud-two-weeks-activity-7398120253106319360-XYaX?utm_source=share&amp;utm_medium=member_desktop&amp;rcm=ACoAAEb3E9gBwsuBIEB-qX33QBAAeuXV38R4wso" TargetMode="External"/><Relationship Id="rId151" Type="http://schemas.openxmlformats.org/officeDocument/2006/relationships/hyperlink" Target="https://www.linkedin.com/posts/tomcobin-dynamicoach_a-professionals-guide-to-difficult-holiday-activity-7399840654442463233-MNet?utm_source=share&amp;utm_medium=member_desktop&amp;rcm=ACoAAEb3E9gBwsuBIEB-qX33QBAAeuXV38R4wso" TargetMode="External"/><Relationship Id="rId193" Type="http://schemas.openxmlformats.org/officeDocument/2006/relationships/hyperlink" Target="https://www.linkedin.com/posts/melindaeramirez_activaterisethrive-taiphoenixconsulting-activity-7407467650785624064-0xnS?utm_source=share&amp;utm_medium=member_desktop&amp;rcm=ACoAAEb3E9gBwsuBIEB-qX33QBAAeuXV38R4wso" TargetMode="External"/><Relationship Id="rId207" Type="http://schemas.openxmlformats.org/officeDocument/2006/relationships/hyperlink" Target="https://www.linkedin.com/posts/drsaurabhpatil_most-men-think-fitness-is-about-looking-strong-activity-7406928500173045760-rzcN?utm_source=share&amp;utm_medium=member_desktop&amp;rcm=ACoAAEb3E9gBwsuBIEB-qX33QBAAeuXV38R4wso" TargetMode="External"/><Relationship Id="rId249" Type="http://schemas.openxmlformats.org/officeDocument/2006/relationships/hyperlink" Target="https://www.linkedin.com/in/sanskriti-agarwal-44161625a/" TargetMode="External"/><Relationship Id="rId13" Type="http://schemas.openxmlformats.org/officeDocument/2006/relationships/hyperlink" Target="https://www.linkedin.com/posts/shoaibahmed21_how-to-make-me-want-to-curl-into-a-ball-and-activity-7406987776312713217-lJU0?utm_source=share&amp;utm_medium=member_desktop&amp;rcm=ACoAAEb3E9gBwsuBIEB-qX33QBAAeuXV38R4wso" TargetMode="External"/><Relationship Id="rId109" Type="http://schemas.openxmlformats.org/officeDocument/2006/relationships/hyperlink" Target="https://www.linkedin.com/posts/paulrlewis1_great-news-for-young-entrepreneurs-in-cambridgeshire-activity-7401224307307335680-vJQ6?utm_source=share&amp;utm_medium=member_desktop&amp;rcm=ACoAAEb3E9gBwsuBIEB-qX33QBAAeuXV38R4wso" TargetMode="External"/><Relationship Id="rId260" Type="http://schemas.openxmlformats.org/officeDocument/2006/relationships/hyperlink" Target="https://www.linkedin.com/posts/coachshwetabajaj_confidence-clarity-presence-activity-7410208920138387456-Dwm_?utm_source=share&amp;utm_medium=member_desktop&amp;rcm=ACoAAEb3E9gBwsuBIEB-qX33QBAAeuXV38R4wso" TargetMode="External"/><Relationship Id="rId316" Type="http://schemas.openxmlformats.org/officeDocument/2006/relationships/hyperlink" Target="https://www.linkedin.com/posts/sreeveniv-transformational-catalyst-self-worth-influencer_things-youre-allowed-to-outgrow-this-year-activity-7413059121123553280-jJMu?utm_source=share&amp;utm_medium=member_desktop&amp;rcm=ACoAAEb3E9gBwsuBIEB-qX33QBAAeuXV38R4wso" TargetMode="External"/><Relationship Id="rId55" Type="http://schemas.openxmlformats.org/officeDocument/2006/relationships/hyperlink" Target="https://www.linkedin.com/posts/quiana-brown-layol_layolliving-healthyboundaries-selfrespect-activity-7406671951206862848-ylt8?utm_source=share&amp;utm_medium=member_desktop&amp;rcm=ACoAAEb3E9gBwsuBIEB-qX33QBAAeuXV38R4wso" TargetMode="External"/><Relationship Id="rId97" Type="http://schemas.openxmlformats.org/officeDocument/2006/relationships/hyperlink" Target="https://www.linkedin.com/in/christos-stambolidis-900227211/" TargetMode="External"/><Relationship Id="rId120" Type="http://schemas.openxmlformats.org/officeDocument/2006/relationships/hyperlink" Target="https://www.linkedin.com/posts/dianakander_success-feels-like-arrival-but-its-often-activity-7407774417096941568-ZgUd?utm_source=share&amp;utm_medium=member_desktop&amp;rcm=ACoAAEb3E9gBwsuBIEB-qX33QBAAeuXV38R4wso" TargetMode="External"/><Relationship Id="rId162" Type="http://schemas.openxmlformats.org/officeDocument/2006/relationships/hyperlink" Target="https://www.linkedin.com/in/monikalifezen/" TargetMode="External"/><Relationship Id="rId218" Type="http://schemas.openxmlformats.org/officeDocument/2006/relationships/hyperlink" Target="https://www.linkedin.com/posts/wilfred-shreyas-788006105_blessed-speaker-startup-activity-7365381323391184897-FrNv?utm_source=share&amp;utm_medium=member_desktop&amp;rcm=ACoAAEb3E9gBwsuBIEB-qX33QBAAeuXV38R4wso" TargetMode="External"/><Relationship Id="rId271" Type="http://schemas.openxmlformats.org/officeDocument/2006/relationships/hyperlink" Target="https://www.linkedin.com/posts/ravi-bodani-b2749380_nlp-neurolinguisticprogramming-nlpcoach-activity-7409569290921771008-ozOf?utm_source=share&amp;utm_medium=member_desktop&amp;rcm=ACoAAEb3E9gBwsuBIEB-qX33QBAAeuXV38R4wso" TargetMode="External"/><Relationship Id="rId24" Type="http://schemas.openxmlformats.org/officeDocument/2006/relationships/hyperlink" Target="https://www.linkedin.com/posts/shoaibahmed21_how-to-make-me-want-to-curl-into-a-ball-and-activity-7406987776312713217-lJU0?utm_source=share&amp;utm_medium=member_desktop&amp;rcm=ACoAAEb3E9gBwsuBIEB-qX33QBAAeuXV38R4wso" TargetMode="External"/><Relationship Id="rId66" Type="http://schemas.openxmlformats.org/officeDocument/2006/relationships/hyperlink" Target="https://www.linkedin.com/posts/randybelham_yearinreview-activity-7407160049506271232-HOoD?utm_source=share&amp;utm_medium=member_desktop&amp;rcm=ACoAAEb3E9gBwsuBIEB-qX33QBAAeuXV38R4wso" TargetMode="External"/><Relationship Id="rId131" Type="http://schemas.openxmlformats.org/officeDocument/2006/relationships/hyperlink" Target="https://www.linkedin.com/posts/brett-r-huntington_hed-been-the-top-rep-for-5-years-straight-activity-7397038481723580416-sA6I?utm_source=share&amp;utm_medium=member_desktop&amp;rcm=ACoAAEb3E9gBwsuBIEB-qX33QBAAeuXV38R4wso" TargetMode="External"/><Relationship Id="rId327" Type="http://schemas.openxmlformats.org/officeDocument/2006/relationships/hyperlink" Target="https://www.linkedin.com/posts/harneet-kaur-kohli_numbers-dont-lie-but-they-do-speak-and-activity-7401954859727691776-HIZh?utm_source=share&amp;utm_medium=member_desktop&amp;rcm=ACoAAEb3E9gBwsuBIEB-qX33QBAAeuXV38R4wso" TargetMode="External"/><Relationship Id="rId173" Type="http://schemas.openxmlformats.org/officeDocument/2006/relationships/hyperlink" Target="https://www.linkedin.com/posts/maija-morton-b2b287192_i-used-to-think-my-nervous-system-was-regulated-activity-7404792202822012929-4l5I?utm_source=share&amp;utm_medium=member_desktop&amp;rcm=ACoAAEb3E9gBwsuBIEB-qX33QBAAeuXV38R4wso" TargetMode="External"/><Relationship Id="rId229" Type="http://schemas.openxmlformats.org/officeDocument/2006/relationships/hyperlink" Target="https://www.linkedin.com/in/shivam-lalchandani-6642261b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85"/>
  <sheetViews>
    <sheetView tabSelected="1" zoomScale="85" zoomScaleNormal="85" workbookViewId="0">
      <selection activeCell="I276" sqref="I276"/>
    </sheetView>
  </sheetViews>
  <sheetFormatPr defaultRowHeight="14.4" x14ac:dyDescent="0.3"/>
  <cols>
    <col min="1" max="1" width="24.6640625" bestFit="1" customWidth="1"/>
    <col min="2" max="2" width="54.21875" bestFit="1" customWidth="1"/>
    <col min="3" max="3" width="14.5546875" style="22" customWidth="1"/>
    <col min="4" max="4" width="12.21875" style="19" customWidth="1"/>
    <col min="5" max="5" width="16.77734375" customWidth="1"/>
    <col min="6" max="6" width="33.6640625" bestFit="1" customWidth="1"/>
    <col min="7" max="7" width="12.109375" customWidth="1"/>
    <col min="8" max="8" width="12.33203125" customWidth="1"/>
    <col min="9" max="9" width="15.21875" style="17" customWidth="1"/>
    <col min="10" max="10" width="16.21875" customWidth="1"/>
    <col min="11" max="11" width="16.33203125" style="19" customWidth="1"/>
    <col min="12" max="12" width="24.109375" bestFit="1" customWidth="1"/>
    <col min="13" max="13" width="25.44140625" bestFit="1" customWidth="1"/>
    <col min="14" max="14" width="22" customWidth="1"/>
    <col min="15" max="15" width="15.109375" style="11" customWidth="1"/>
    <col min="16" max="16" width="17.6640625" customWidth="1"/>
    <col min="17" max="17" width="28.33203125" bestFit="1" customWidth="1"/>
    <col min="18" max="18" width="22" style="11" customWidth="1"/>
    <col min="19" max="19" width="22" customWidth="1"/>
    <col min="20" max="20" width="11.6640625" customWidth="1"/>
    <col min="21" max="21" width="33.77734375" customWidth="1"/>
    <col min="22" max="22" width="15.88671875" customWidth="1"/>
    <col min="23" max="23" width="13.77734375" customWidth="1"/>
    <col min="24" max="24" width="31.44140625" bestFit="1" customWidth="1"/>
    <col min="25" max="25" width="24.109375" customWidth="1"/>
    <col min="26" max="26" width="9.88671875" style="11" customWidth="1"/>
    <col min="27" max="27" width="11.44140625" style="11" customWidth="1"/>
    <col min="28" max="28" width="9.5546875" style="11" customWidth="1"/>
    <col min="29" max="29" width="18" style="11" customWidth="1"/>
    <col min="30" max="30" width="22" style="11" customWidth="1"/>
    <col min="31" max="31" width="26.88671875" style="11" customWidth="1"/>
    <col min="32" max="32" width="18.5546875" style="11" customWidth="1"/>
    <col min="33" max="33" width="15.6640625" style="11" customWidth="1"/>
    <col min="34" max="34" width="22" style="11" customWidth="1"/>
    <col min="35" max="35" width="13.109375" customWidth="1"/>
    <col min="36" max="36" width="14.6640625" customWidth="1"/>
    <col min="37" max="37" width="32.33203125" bestFit="1" customWidth="1"/>
    <col min="38" max="38" width="28.77734375" style="11" bestFit="1" customWidth="1"/>
    <col min="39" max="39" width="18.109375" customWidth="1"/>
    <col min="40" max="40" width="12.77734375" customWidth="1"/>
    <col min="41" max="41" width="25" customWidth="1"/>
    <col min="42" max="42" width="24.33203125" bestFit="1" customWidth="1"/>
    <col min="43" max="43" width="20" customWidth="1"/>
    <col min="44" max="44" width="22.109375" style="11" bestFit="1" customWidth="1"/>
    <col min="45" max="51" width="22" customWidth="1"/>
  </cols>
  <sheetData>
    <row r="1" spans="1:51" x14ac:dyDescent="0.3">
      <c r="A1" s="1" t="s">
        <v>0</v>
      </c>
      <c r="B1" s="1" t="s">
        <v>1</v>
      </c>
      <c r="C1" s="26" t="s">
        <v>2</v>
      </c>
      <c r="D1" s="2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6" t="s">
        <v>8</v>
      </c>
      <c r="J1" s="1" t="s">
        <v>9</v>
      </c>
      <c r="K1" s="18" t="s">
        <v>49</v>
      </c>
      <c r="L1" s="7" t="s">
        <v>10</v>
      </c>
      <c r="M1" s="1" t="s">
        <v>11</v>
      </c>
      <c r="N1" s="1" t="s">
        <v>12</v>
      </c>
      <c r="O1" s="10" t="s">
        <v>13</v>
      </c>
      <c r="P1" s="1" t="s">
        <v>14</v>
      </c>
      <c r="Q1" s="1" t="s">
        <v>15</v>
      </c>
      <c r="R1" s="10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0" t="s">
        <v>24</v>
      </c>
      <c r="AA1" s="10" t="s">
        <v>25</v>
      </c>
      <c r="AB1" s="10" t="s">
        <v>26</v>
      </c>
      <c r="AC1" s="14" t="s">
        <v>27</v>
      </c>
      <c r="AD1" s="14" t="s">
        <v>28</v>
      </c>
      <c r="AE1" s="10" t="s">
        <v>29</v>
      </c>
      <c r="AF1" s="10" t="s">
        <v>30</v>
      </c>
      <c r="AG1" s="10" t="s">
        <v>31</v>
      </c>
      <c r="AH1" s="10" t="s">
        <v>32</v>
      </c>
      <c r="AI1" s="1" t="s">
        <v>33</v>
      </c>
      <c r="AJ1" s="1" t="s">
        <v>34</v>
      </c>
      <c r="AK1" s="1" t="s">
        <v>35</v>
      </c>
      <c r="AL1" s="10" t="s">
        <v>36</v>
      </c>
      <c r="AM1" s="1" t="s">
        <v>37</v>
      </c>
      <c r="AN1" s="1" t="s">
        <v>38</v>
      </c>
      <c r="AO1" s="7" t="s">
        <v>72</v>
      </c>
      <c r="AP1" s="7" t="s">
        <v>73</v>
      </c>
      <c r="AQ1" s="7" t="s">
        <v>107</v>
      </c>
      <c r="AR1" s="10" t="s">
        <v>39</v>
      </c>
      <c r="AS1" s="1"/>
      <c r="AT1" s="1"/>
      <c r="AU1" s="1"/>
      <c r="AV1" s="1"/>
      <c r="AW1" s="1"/>
      <c r="AX1" s="1"/>
      <c r="AY1" s="1"/>
    </row>
    <row r="2" spans="1:51" x14ac:dyDescent="0.3">
      <c r="A2" s="8" t="s">
        <v>40</v>
      </c>
      <c r="B2" s="30" t="s">
        <v>41</v>
      </c>
      <c r="C2" s="23">
        <v>200</v>
      </c>
      <c r="D2" s="21">
        <v>5592</v>
      </c>
      <c r="E2" s="8" t="s">
        <v>42</v>
      </c>
      <c r="F2" s="4" t="s">
        <v>43</v>
      </c>
      <c r="G2">
        <v>1</v>
      </c>
      <c r="H2" s="3" t="s">
        <v>47</v>
      </c>
      <c r="I2" s="5">
        <v>46002</v>
      </c>
      <c r="J2" s="2" t="s">
        <v>48</v>
      </c>
      <c r="K2" s="19">
        <f ca="1">IF(ISNUMBER(I2), TODAY() - I2, "")</f>
        <v>27</v>
      </c>
      <c r="L2" s="2" t="s">
        <v>50</v>
      </c>
      <c r="M2" s="2" t="s">
        <v>50</v>
      </c>
      <c r="N2" s="2" t="s">
        <v>57</v>
      </c>
      <c r="O2" s="2">
        <v>1</v>
      </c>
      <c r="P2" s="2" t="s">
        <v>59</v>
      </c>
      <c r="Q2" t="s">
        <v>60</v>
      </c>
      <c r="R2" s="11">
        <v>25</v>
      </c>
      <c r="S2" s="2" t="s">
        <v>61</v>
      </c>
      <c r="T2" s="2" t="s">
        <v>63</v>
      </c>
      <c r="U2" s="2" t="s">
        <v>64</v>
      </c>
      <c r="V2" s="2" t="s">
        <v>68</v>
      </c>
      <c r="W2" s="2" t="s">
        <v>69</v>
      </c>
      <c r="X2" s="6" t="s">
        <v>78</v>
      </c>
      <c r="Y2" s="2" t="s">
        <v>62</v>
      </c>
      <c r="Z2" s="2">
        <v>11</v>
      </c>
      <c r="AA2" s="2">
        <v>1</v>
      </c>
      <c r="AB2" s="2">
        <v>0</v>
      </c>
      <c r="AC2" s="11">
        <f>Z2+AA2+AB2</f>
        <v>12</v>
      </c>
      <c r="AD2" s="20">
        <f xml:space="preserve"> (AC2 / D2)</f>
        <v>2.1459227467811159E-3</v>
      </c>
      <c r="AE2" s="11">
        <f>(AC2/D2)*1000</f>
        <v>2.1459227467811157</v>
      </c>
      <c r="AF2" s="11">
        <f>(AA2/D2)*100</f>
        <v>1.7882689556509297E-2</v>
      </c>
      <c r="AG2" s="11">
        <f>(AB2/D2)*100</f>
        <v>0</v>
      </c>
      <c r="AH2" s="11">
        <f>IF(Z2=0,0,AA2/Z2)</f>
        <v>9.0909090909090912E-2</v>
      </c>
      <c r="AI2" s="2" t="s">
        <v>62</v>
      </c>
      <c r="AJ2" s="2" t="s">
        <v>62</v>
      </c>
      <c r="AK2" t="s">
        <v>70</v>
      </c>
      <c r="AL2" s="11" t="s">
        <v>71</v>
      </c>
      <c r="AM2" t="str">
        <f>TEXT(I2,"dddd")</f>
        <v>Thursday</v>
      </c>
      <c r="AN2" s="8" t="s">
        <v>63</v>
      </c>
      <c r="AO2" s="31" t="s">
        <v>52</v>
      </c>
      <c r="AP2" s="31" t="s">
        <v>53</v>
      </c>
      <c r="AQ2" t="s">
        <v>62</v>
      </c>
      <c r="AR2" s="11">
        <f>1 + 4*((AC2 - MIN($AC$2:$AC$100)) / (MAX($AC$2:$AC$100) - MIN($AC$2:$AC$100)))</f>
        <v>1.0064455485430375</v>
      </c>
    </row>
    <row r="3" spans="1:51" x14ac:dyDescent="0.3">
      <c r="A3" s="8" t="s">
        <v>40</v>
      </c>
      <c r="B3" s="30"/>
      <c r="C3" s="23">
        <v>200</v>
      </c>
      <c r="D3" s="21">
        <v>5592</v>
      </c>
      <c r="E3" s="8" t="s">
        <v>42</v>
      </c>
      <c r="F3" s="2" t="s">
        <v>44</v>
      </c>
      <c r="G3">
        <v>2</v>
      </c>
      <c r="H3" s="3" t="s">
        <v>47</v>
      </c>
      <c r="I3" s="5">
        <v>45994</v>
      </c>
      <c r="J3" s="2" t="s">
        <v>48</v>
      </c>
      <c r="K3" s="19">
        <f t="shared" ref="K3:K66" ca="1" si="0">IF(ISNUMBER(I3), TODAY() - I3, "")</f>
        <v>35</v>
      </c>
      <c r="L3" s="2" t="s">
        <v>51</v>
      </c>
      <c r="M3" s="2" t="s">
        <v>54</v>
      </c>
      <c r="N3" s="2" t="s">
        <v>58</v>
      </c>
      <c r="O3" s="2">
        <v>3</v>
      </c>
      <c r="P3" s="2" t="s">
        <v>59</v>
      </c>
      <c r="Q3" t="s">
        <v>74</v>
      </c>
      <c r="R3" s="11">
        <v>25</v>
      </c>
      <c r="S3" t="s">
        <v>75</v>
      </c>
      <c r="T3" s="2" t="s">
        <v>63</v>
      </c>
      <c r="U3" s="2" t="s">
        <v>65</v>
      </c>
      <c r="V3" s="2" t="s">
        <v>68</v>
      </c>
      <c r="W3" t="s">
        <v>76</v>
      </c>
      <c r="X3" t="s">
        <v>77</v>
      </c>
      <c r="Y3" s="2" t="s">
        <v>62</v>
      </c>
      <c r="Z3" s="2">
        <v>7</v>
      </c>
      <c r="AA3" s="2">
        <v>2</v>
      </c>
      <c r="AB3" s="2">
        <v>0</v>
      </c>
      <c r="AC3" s="11">
        <f t="shared" ref="AC3:AC66" si="1">Z3+AA3+AB3</f>
        <v>9</v>
      </c>
      <c r="AD3" s="20">
        <f t="shared" ref="AD3:AD66" si="2" xml:space="preserve"> (AC3 / D3)</f>
        <v>1.6094420600858369E-3</v>
      </c>
      <c r="AE3" s="11">
        <f t="shared" ref="AE3:AE66" si="3">(AC3/D3)*1000</f>
        <v>1.609442060085837</v>
      </c>
      <c r="AF3" s="11">
        <f t="shared" ref="AF3:AF66" si="4">(AA3/D3)*100</f>
        <v>3.5765379113018594E-2</v>
      </c>
      <c r="AG3" s="11">
        <f t="shared" ref="AG3:AG66" si="5">(AB3/D3)*100</f>
        <v>0</v>
      </c>
      <c r="AH3" s="11">
        <f t="shared" ref="AH3:AH66" si="6">IF(Z3=0,0,AA3/Z3)</f>
        <v>0.2857142857142857</v>
      </c>
      <c r="AI3" s="2" t="s">
        <v>62</v>
      </c>
      <c r="AJ3" s="2" t="s">
        <v>63</v>
      </c>
      <c r="AK3" t="s">
        <v>79</v>
      </c>
      <c r="AL3" s="11" t="s">
        <v>80</v>
      </c>
      <c r="AM3" t="str">
        <f t="shared" ref="AM3:AM66" si="7">TEXT(I3,"dddd")</f>
        <v>Wednesday</v>
      </c>
      <c r="AN3" s="8" t="s">
        <v>63</v>
      </c>
      <c r="AO3" s="31"/>
      <c r="AP3" s="31"/>
      <c r="AQ3" t="s">
        <v>62</v>
      </c>
      <c r="AR3" s="11">
        <f t="shared" ref="AR3:AR66" si="8">1 + 4*((AC3 - MIN($AC$2:$AC$100)) / (MAX($AC$2:$AC$100) - MIN($AC$2:$AC$100)))</f>
        <v>1.004834161407278</v>
      </c>
    </row>
    <row r="4" spans="1:51" x14ac:dyDescent="0.3">
      <c r="A4" s="8" t="s">
        <v>40</v>
      </c>
      <c r="B4" s="30"/>
      <c r="C4" s="23">
        <v>200</v>
      </c>
      <c r="D4" s="21">
        <v>5592</v>
      </c>
      <c r="E4" s="8" t="s">
        <v>42</v>
      </c>
      <c r="F4" s="2" t="s">
        <v>45</v>
      </c>
      <c r="G4">
        <v>3</v>
      </c>
      <c r="H4" s="3" t="s">
        <v>47</v>
      </c>
      <c r="I4" s="5">
        <v>45993</v>
      </c>
      <c r="J4" s="2" t="s">
        <v>48</v>
      </c>
      <c r="K4" s="19">
        <f t="shared" ca="1" si="0"/>
        <v>36</v>
      </c>
      <c r="L4" s="2" t="s">
        <v>52</v>
      </c>
      <c r="M4" s="2" t="s">
        <v>55</v>
      </c>
      <c r="N4" s="2" t="s">
        <v>58</v>
      </c>
      <c r="O4" s="2">
        <v>1</v>
      </c>
      <c r="P4" s="2" t="s">
        <v>59</v>
      </c>
      <c r="Q4" t="s">
        <v>93</v>
      </c>
      <c r="R4" s="11">
        <v>40</v>
      </c>
      <c r="S4" s="2" t="s">
        <v>61</v>
      </c>
      <c r="T4" s="2" t="s">
        <v>62</v>
      </c>
      <c r="U4" s="2" t="s">
        <v>67</v>
      </c>
      <c r="V4" s="2" t="s">
        <v>68</v>
      </c>
      <c r="W4" t="s">
        <v>76</v>
      </c>
      <c r="X4" s="2" t="s">
        <v>82</v>
      </c>
      <c r="Y4" s="2" t="s">
        <v>62</v>
      </c>
      <c r="Z4" s="2">
        <v>10</v>
      </c>
      <c r="AA4" s="2">
        <v>1</v>
      </c>
      <c r="AB4" s="2">
        <v>0</v>
      </c>
      <c r="AC4" s="11">
        <f t="shared" si="1"/>
        <v>11</v>
      </c>
      <c r="AD4" s="20">
        <f t="shared" si="2"/>
        <v>1.9670958512160229E-3</v>
      </c>
      <c r="AE4" s="11">
        <f t="shared" si="3"/>
        <v>1.9670958512160228</v>
      </c>
      <c r="AF4" s="11">
        <f t="shared" si="4"/>
        <v>1.7882689556509297E-2</v>
      </c>
      <c r="AG4" s="11">
        <f t="shared" si="5"/>
        <v>0</v>
      </c>
      <c r="AH4" s="11">
        <f t="shared" si="6"/>
        <v>0.1</v>
      </c>
      <c r="AI4" s="2" t="s">
        <v>62</v>
      </c>
      <c r="AJ4" s="2" t="s">
        <v>62</v>
      </c>
      <c r="AK4" t="s">
        <v>52</v>
      </c>
      <c r="AL4" s="11" t="s">
        <v>81</v>
      </c>
      <c r="AM4" t="str">
        <f t="shared" si="7"/>
        <v>Tuesday</v>
      </c>
      <c r="AN4" s="8" t="s">
        <v>63</v>
      </c>
      <c r="AO4" s="31"/>
      <c r="AP4" s="31"/>
      <c r="AQ4" t="s">
        <v>62</v>
      </c>
      <c r="AR4" s="11">
        <f t="shared" si="8"/>
        <v>1.0059084194977843</v>
      </c>
    </row>
    <row r="5" spans="1:51" x14ac:dyDescent="0.3">
      <c r="A5" s="8" t="s">
        <v>40</v>
      </c>
      <c r="B5" s="30"/>
      <c r="C5" s="23">
        <v>200</v>
      </c>
      <c r="D5" s="21">
        <v>5592</v>
      </c>
      <c r="E5" s="8" t="s">
        <v>42</v>
      </c>
      <c r="F5" s="2" t="s">
        <v>46</v>
      </c>
      <c r="G5">
        <v>4</v>
      </c>
      <c r="H5" s="3" t="s">
        <v>47</v>
      </c>
      <c r="I5" s="5">
        <v>45992</v>
      </c>
      <c r="J5" s="2" t="s">
        <v>48</v>
      </c>
      <c r="K5" s="19">
        <f t="shared" ca="1" si="0"/>
        <v>37</v>
      </c>
      <c r="L5" s="2" t="s">
        <v>53</v>
      </c>
      <c r="M5" s="2" t="s">
        <v>56</v>
      </c>
      <c r="N5" s="2" t="s">
        <v>58</v>
      </c>
      <c r="O5" s="2">
        <v>13</v>
      </c>
      <c r="P5" s="2" t="s">
        <v>59</v>
      </c>
      <c r="Q5" t="s">
        <v>94</v>
      </c>
      <c r="R5" s="11">
        <v>20</v>
      </c>
      <c r="S5" s="2" t="s">
        <v>61</v>
      </c>
      <c r="T5" s="2" t="s">
        <v>63</v>
      </c>
      <c r="U5" s="2" t="s">
        <v>67</v>
      </c>
      <c r="V5" s="2" t="s">
        <v>68</v>
      </c>
      <c r="W5" s="2" t="s">
        <v>69</v>
      </c>
      <c r="X5" t="s">
        <v>77</v>
      </c>
      <c r="Y5" s="2" t="s">
        <v>59</v>
      </c>
      <c r="Z5" s="2">
        <v>7</v>
      </c>
      <c r="AA5" s="2">
        <v>0</v>
      </c>
      <c r="AB5" s="2">
        <v>1</v>
      </c>
      <c r="AC5" s="11">
        <f t="shared" si="1"/>
        <v>8</v>
      </c>
      <c r="AD5" s="20">
        <f t="shared" si="2"/>
        <v>1.4306151645207439E-3</v>
      </c>
      <c r="AE5" s="11">
        <f t="shared" si="3"/>
        <v>1.4306151645207439</v>
      </c>
      <c r="AF5" s="11">
        <f t="shared" si="4"/>
        <v>0</v>
      </c>
      <c r="AG5" s="11">
        <f t="shared" si="5"/>
        <v>1.7882689556509297E-2</v>
      </c>
      <c r="AH5" s="11">
        <f t="shared" si="6"/>
        <v>0</v>
      </c>
      <c r="AI5" s="2" t="s">
        <v>62</v>
      </c>
      <c r="AJ5" s="2" t="s">
        <v>63</v>
      </c>
      <c r="AK5" t="s">
        <v>55</v>
      </c>
      <c r="AL5" s="11" t="s">
        <v>80</v>
      </c>
      <c r="AM5" t="str">
        <f t="shared" si="7"/>
        <v>Monday</v>
      </c>
      <c r="AN5" s="8" t="s">
        <v>63</v>
      </c>
      <c r="AO5" s="31"/>
      <c r="AP5" s="31"/>
      <c r="AQ5" t="s">
        <v>62</v>
      </c>
      <c r="AR5" s="11">
        <f t="shared" si="8"/>
        <v>1.0042970323620251</v>
      </c>
    </row>
    <row r="6" spans="1:51" x14ac:dyDescent="0.3">
      <c r="A6" s="8" t="s">
        <v>83</v>
      </c>
      <c r="B6" s="30" t="s">
        <v>84</v>
      </c>
      <c r="C6" s="23">
        <v>4</v>
      </c>
      <c r="D6" s="21">
        <v>60000</v>
      </c>
      <c r="E6" s="8" t="s">
        <v>42</v>
      </c>
      <c r="F6" s="4" t="s">
        <v>85</v>
      </c>
      <c r="G6">
        <v>1</v>
      </c>
      <c r="H6" s="3" t="s">
        <v>47</v>
      </c>
      <c r="I6" s="5">
        <v>46008</v>
      </c>
      <c r="J6" s="2" t="s">
        <v>89</v>
      </c>
      <c r="K6" s="19">
        <f t="shared" ca="1" si="0"/>
        <v>21</v>
      </c>
      <c r="L6" s="2" t="s">
        <v>53</v>
      </c>
      <c r="M6" s="2" t="s">
        <v>56</v>
      </c>
      <c r="N6" s="2" t="s">
        <v>58</v>
      </c>
      <c r="O6" s="2">
        <v>3</v>
      </c>
      <c r="P6" s="2" t="s">
        <v>59</v>
      </c>
      <c r="Q6" t="s">
        <v>95</v>
      </c>
      <c r="R6" s="11">
        <v>15</v>
      </c>
      <c r="S6" t="s">
        <v>75</v>
      </c>
      <c r="T6" s="2" t="s">
        <v>63</v>
      </c>
      <c r="U6" s="2" t="s">
        <v>102</v>
      </c>
      <c r="V6" s="2" t="s">
        <v>68</v>
      </c>
      <c r="W6" s="2" t="s">
        <v>69</v>
      </c>
      <c r="X6" t="s">
        <v>96</v>
      </c>
      <c r="Y6" s="2" t="s">
        <v>59</v>
      </c>
      <c r="Z6" s="2">
        <v>44</v>
      </c>
      <c r="AA6" s="2">
        <v>39</v>
      </c>
      <c r="AB6" s="2">
        <v>2</v>
      </c>
      <c r="AC6" s="11">
        <f t="shared" si="1"/>
        <v>85</v>
      </c>
      <c r="AD6" s="20">
        <f t="shared" si="2"/>
        <v>1.4166666666666668E-3</v>
      </c>
      <c r="AE6" s="11">
        <f t="shared" si="3"/>
        <v>1.4166666666666667</v>
      </c>
      <c r="AF6" s="11">
        <f t="shared" si="4"/>
        <v>6.5000000000000002E-2</v>
      </c>
      <c r="AG6" s="11">
        <f t="shared" si="5"/>
        <v>3.3333333333333335E-3</v>
      </c>
      <c r="AH6" s="11">
        <f t="shared" si="6"/>
        <v>0.88636363636363635</v>
      </c>
      <c r="AI6" s="2" t="s">
        <v>63</v>
      </c>
      <c r="AJ6" s="2" t="s">
        <v>62</v>
      </c>
      <c r="AK6" s="2" t="s">
        <v>52</v>
      </c>
      <c r="AL6" s="11" t="s">
        <v>81</v>
      </c>
      <c r="AM6" t="str">
        <f t="shared" si="7"/>
        <v>Wednesday</v>
      </c>
      <c r="AN6" s="8" t="s">
        <v>63</v>
      </c>
      <c r="AO6" s="31" t="s">
        <v>52</v>
      </c>
      <c r="AP6" s="31" t="s">
        <v>53</v>
      </c>
      <c r="AQ6" t="s">
        <v>63</v>
      </c>
      <c r="AR6" s="11">
        <f t="shared" si="8"/>
        <v>1.0456559688465155</v>
      </c>
    </row>
    <row r="7" spans="1:51" x14ac:dyDescent="0.3">
      <c r="A7" s="8" t="s">
        <v>83</v>
      </c>
      <c r="B7" s="30"/>
      <c r="C7" s="23">
        <v>4</v>
      </c>
      <c r="D7" s="21">
        <v>60000</v>
      </c>
      <c r="E7" s="8" t="s">
        <v>42</v>
      </c>
      <c r="F7" s="2" t="s">
        <v>86</v>
      </c>
      <c r="G7">
        <v>2</v>
      </c>
      <c r="H7" s="3" t="s">
        <v>47</v>
      </c>
      <c r="I7" s="5">
        <v>46007</v>
      </c>
      <c r="J7" s="2" t="s">
        <v>89</v>
      </c>
      <c r="K7" s="19">
        <f t="shared" ca="1" si="0"/>
        <v>22</v>
      </c>
      <c r="L7" s="2" t="s">
        <v>52</v>
      </c>
      <c r="M7" s="2" t="s">
        <v>55</v>
      </c>
      <c r="N7" s="2" t="s">
        <v>58</v>
      </c>
      <c r="O7" s="2">
        <v>1</v>
      </c>
      <c r="P7" s="2" t="s">
        <v>59</v>
      </c>
      <c r="Q7" t="s">
        <v>95</v>
      </c>
      <c r="R7" s="11">
        <v>15</v>
      </c>
      <c r="S7" t="s">
        <v>75</v>
      </c>
      <c r="T7" s="2" t="s">
        <v>63</v>
      </c>
      <c r="U7" s="2" t="s">
        <v>103</v>
      </c>
      <c r="V7" s="2" t="s">
        <v>68</v>
      </c>
      <c r="W7" t="s">
        <v>76</v>
      </c>
      <c r="X7" t="s">
        <v>97</v>
      </c>
      <c r="Y7" s="2" t="s">
        <v>62</v>
      </c>
      <c r="Z7" s="2">
        <v>166</v>
      </c>
      <c r="AA7" s="2">
        <v>134</v>
      </c>
      <c r="AB7" s="2">
        <v>3</v>
      </c>
      <c r="AC7" s="11">
        <f t="shared" si="1"/>
        <v>303</v>
      </c>
      <c r="AD7" s="20">
        <f t="shared" si="2"/>
        <v>5.0499999999999998E-3</v>
      </c>
      <c r="AE7" s="11">
        <f t="shared" si="3"/>
        <v>5.05</v>
      </c>
      <c r="AF7" s="11">
        <f t="shared" si="4"/>
        <v>0.22333333333333333</v>
      </c>
      <c r="AG7" s="11">
        <f t="shared" si="5"/>
        <v>5.0000000000000001E-3</v>
      </c>
      <c r="AH7" s="11">
        <f t="shared" si="6"/>
        <v>0.80722891566265065</v>
      </c>
      <c r="AI7" s="2" t="s">
        <v>63</v>
      </c>
      <c r="AJ7" s="2" t="s">
        <v>62</v>
      </c>
      <c r="AK7" s="2" t="s">
        <v>90</v>
      </c>
      <c r="AL7" s="2" t="s">
        <v>105</v>
      </c>
      <c r="AM7" t="str">
        <f t="shared" si="7"/>
        <v>Tuesday</v>
      </c>
      <c r="AN7" s="8" t="s">
        <v>63</v>
      </c>
      <c r="AO7" s="31"/>
      <c r="AP7" s="31"/>
      <c r="AQ7" t="s">
        <v>63</v>
      </c>
      <c r="AR7" s="11">
        <f t="shared" si="8"/>
        <v>1.162750100711696</v>
      </c>
    </row>
    <row r="8" spans="1:51" x14ac:dyDescent="0.3">
      <c r="A8" s="8" t="s">
        <v>83</v>
      </c>
      <c r="B8" s="30"/>
      <c r="C8" s="23">
        <v>4</v>
      </c>
      <c r="D8" s="21">
        <v>60000</v>
      </c>
      <c r="E8" s="8" t="s">
        <v>42</v>
      </c>
      <c r="F8" s="2" t="s">
        <v>87</v>
      </c>
      <c r="G8">
        <v>3</v>
      </c>
      <c r="H8" s="3" t="s">
        <v>47</v>
      </c>
      <c r="I8" s="5">
        <v>46006</v>
      </c>
      <c r="J8" s="2" t="s">
        <v>89</v>
      </c>
      <c r="K8" s="19">
        <f t="shared" ca="1" si="0"/>
        <v>23</v>
      </c>
      <c r="L8" s="2" t="s">
        <v>90</v>
      </c>
      <c r="M8" s="2" t="s">
        <v>91</v>
      </c>
      <c r="N8" s="2" t="s">
        <v>58</v>
      </c>
      <c r="O8" s="2">
        <v>3</v>
      </c>
      <c r="P8" s="2" t="s">
        <v>59</v>
      </c>
      <c r="Q8" t="s">
        <v>98</v>
      </c>
      <c r="R8" s="11">
        <v>40</v>
      </c>
      <c r="S8" s="2" t="s">
        <v>99</v>
      </c>
      <c r="T8" s="2" t="s">
        <v>63</v>
      </c>
      <c r="U8" s="2" t="s">
        <v>104</v>
      </c>
      <c r="V8" s="2" t="s">
        <v>68</v>
      </c>
      <c r="W8" s="2" t="s">
        <v>69</v>
      </c>
      <c r="X8" t="s">
        <v>100</v>
      </c>
      <c r="Y8" s="2" t="s">
        <v>59</v>
      </c>
      <c r="Z8" s="2">
        <v>123</v>
      </c>
      <c r="AA8" s="2">
        <v>96</v>
      </c>
      <c r="AB8" s="2">
        <v>3</v>
      </c>
      <c r="AC8" s="11">
        <f t="shared" si="1"/>
        <v>222</v>
      </c>
      <c r="AD8" s="20">
        <f t="shared" si="2"/>
        <v>3.7000000000000002E-3</v>
      </c>
      <c r="AE8" s="11">
        <f t="shared" si="3"/>
        <v>3.7</v>
      </c>
      <c r="AF8" s="11">
        <f t="shared" si="4"/>
        <v>0.16</v>
      </c>
      <c r="AG8" s="11">
        <f t="shared" si="5"/>
        <v>5.0000000000000001E-3</v>
      </c>
      <c r="AH8" s="11">
        <f t="shared" si="6"/>
        <v>0.78048780487804881</v>
      </c>
      <c r="AI8" s="2" t="s">
        <v>63</v>
      </c>
      <c r="AJ8" s="2" t="s">
        <v>62</v>
      </c>
      <c r="AK8" s="2" t="s">
        <v>52</v>
      </c>
      <c r="AL8" s="2" t="s">
        <v>106</v>
      </c>
      <c r="AM8" t="str">
        <f t="shared" si="7"/>
        <v>Monday</v>
      </c>
      <c r="AN8" s="8" t="s">
        <v>63</v>
      </c>
      <c r="AO8" s="31"/>
      <c r="AP8" s="31"/>
      <c r="AQ8" t="s">
        <v>63</v>
      </c>
      <c r="AR8" s="11">
        <f t="shared" si="8"/>
        <v>1.119242648046193</v>
      </c>
    </row>
    <row r="9" spans="1:51" x14ac:dyDescent="0.3">
      <c r="A9" s="8" t="s">
        <v>83</v>
      </c>
      <c r="B9" s="30"/>
      <c r="C9" s="23">
        <v>4</v>
      </c>
      <c r="D9" s="21">
        <v>60000</v>
      </c>
      <c r="E9" s="8" t="s">
        <v>42</v>
      </c>
      <c r="F9" s="2" t="s">
        <v>88</v>
      </c>
      <c r="G9">
        <v>4</v>
      </c>
      <c r="H9" s="3" t="s">
        <v>47</v>
      </c>
      <c r="I9" s="5">
        <v>46005</v>
      </c>
      <c r="J9" s="2" t="s">
        <v>89</v>
      </c>
      <c r="K9" s="19">
        <f t="shared" ca="1" si="0"/>
        <v>24</v>
      </c>
      <c r="L9" s="2" t="s">
        <v>52</v>
      </c>
      <c r="M9" s="2" t="s">
        <v>92</v>
      </c>
      <c r="N9" s="2" t="s">
        <v>58</v>
      </c>
      <c r="O9" s="2">
        <v>3</v>
      </c>
      <c r="P9" s="2" t="s">
        <v>59</v>
      </c>
      <c r="Q9" t="s">
        <v>101</v>
      </c>
      <c r="R9" s="11">
        <v>40</v>
      </c>
      <c r="S9" s="2" t="s">
        <v>61</v>
      </c>
      <c r="T9" s="2" t="s">
        <v>63</v>
      </c>
      <c r="U9" s="2" t="s">
        <v>78</v>
      </c>
      <c r="V9" s="2" t="s">
        <v>68</v>
      </c>
      <c r="W9" s="2" t="s">
        <v>69</v>
      </c>
      <c r="X9" t="s">
        <v>97</v>
      </c>
      <c r="Y9" s="2" t="s">
        <v>62</v>
      </c>
      <c r="Z9" s="2">
        <v>256</v>
      </c>
      <c r="AA9" s="2">
        <v>179</v>
      </c>
      <c r="AB9" s="2">
        <v>3</v>
      </c>
      <c r="AC9" s="11">
        <f t="shared" si="1"/>
        <v>438</v>
      </c>
      <c r="AD9" s="20">
        <f t="shared" si="2"/>
        <v>7.3000000000000001E-3</v>
      </c>
      <c r="AE9" s="11">
        <f t="shared" si="3"/>
        <v>7.3</v>
      </c>
      <c r="AF9" s="11">
        <f t="shared" si="4"/>
        <v>0.29833333333333334</v>
      </c>
      <c r="AG9" s="11">
        <f t="shared" si="5"/>
        <v>5.0000000000000001E-3</v>
      </c>
      <c r="AH9" s="11">
        <f t="shared" si="6"/>
        <v>0.69921875</v>
      </c>
      <c r="AI9" s="2" t="s">
        <v>63</v>
      </c>
      <c r="AJ9" s="2" t="s">
        <v>62</v>
      </c>
      <c r="AK9" s="2" t="s">
        <v>90</v>
      </c>
      <c r="AL9" s="11" t="s">
        <v>80</v>
      </c>
      <c r="AM9" t="str">
        <f t="shared" si="7"/>
        <v>Sunday</v>
      </c>
      <c r="AN9" s="8" t="s">
        <v>63</v>
      </c>
      <c r="AO9" s="31"/>
      <c r="AP9" s="31"/>
      <c r="AQ9" t="s">
        <v>63</v>
      </c>
      <c r="AR9" s="11">
        <f t="shared" si="8"/>
        <v>1.2352625218208675</v>
      </c>
    </row>
    <row r="10" spans="1:51" x14ac:dyDescent="0.3">
      <c r="A10" s="8" t="s">
        <v>108</v>
      </c>
      <c r="B10" s="30" t="s">
        <v>109</v>
      </c>
      <c r="C10" s="23">
        <v>10</v>
      </c>
      <c r="D10" s="21">
        <v>210875</v>
      </c>
      <c r="E10" s="8" t="s">
        <v>42</v>
      </c>
      <c r="F10" s="4" t="s">
        <v>43</v>
      </c>
      <c r="G10">
        <v>1</v>
      </c>
      <c r="H10" s="3" t="s">
        <v>47</v>
      </c>
      <c r="I10" s="5">
        <v>46008</v>
      </c>
      <c r="J10" s="2" t="s">
        <v>89</v>
      </c>
      <c r="K10" s="19">
        <f t="shared" ca="1" si="0"/>
        <v>21</v>
      </c>
      <c r="L10" s="2" t="s">
        <v>53</v>
      </c>
      <c r="M10" s="2" t="s">
        <v>110</v>
      </c>
      <c r="N10" s="2" t="s">
        <v>58</v>
      </c>
      <c r="O10" s="2">
        <v>1</v>
      </c>
      <c r="P10" s="2" t="s">
        <v>59</v>
      </c>
      <c r="Q10" t="s">
        <v>114</v>
      </c>
      <c r="R10" s="11">
        <v>20</v>
      </c>
      <c r="S10" t="s">
        <v>75</v>
      </c>
      <c r="T10" s="2" t="s">
        <v>63</v>
      </c>
      <c r="U10" s="2" t="s">
        <v>113</v>
      </c>
      <c r="V10" s="2" t="s">
        <v>68</v>
      </c>
      <c r="W10" t="s">
        <v>76</v>
      </c>
      <c r="X10" t="s">
        <v>115</v>
      </c>
      <c r="Y10" s="2" t="s">
        <v>59</v>
      </c>
      <c r="Z10" s="2">
        <v>128</v>
      </c>
      <c r="AA10" s="2">
        <v>38</v>
      </c>
      <c r="AB10" s="2">
        <v>7</v>
      </c>
      <c r="AC10" s="11">
        <f t="shared" si="1"/>
        <v>173</v>
      </c>
      <c r="AD10" s="20">
        <f t="shared" si="2"/>
        <v>8.2039122703023116E-4</v>
      </c>
      <c r="AE10" s="11">
        <f t="shared" si="3"/>
        <v>0.82039122703023115</v>
      </c>
      <c r="AF10" s="11">
        <f t="shared" si="4"/>
        <v>1.802015411973918E-2</v>
      </c>
      <c r="AG10" s="11">
        <f t="shared" si="5"/>
        <v>3.319502074688797E-3</v>
      </c>
      <c r="AH10" s="11">
        <f t="shared" si="6"/>
        <v>0.296875</v>
      </c>
      <c r="AI10" s="2" t="s">
        <v>63</v>
      </c>
      <c r="AJ10" s="2" t="s">
        <v>63</v>
      </c>
      <c r="AK10" t="s">
        <v>116</v>
      </c>
      <c r="AL10" s="11" t="s">
        <v>117</v>
      </c>
      <c r="AM10" t="str">
        <f t="shared" si="7"/>
        <v>Wednesday</v>
      </c>
      <c r="AN10" s="8" t="s">
        <v>63</v>
      </c>
      <c r="AO10" s="31" t="s">
        <v>52</v>
      </c>
      <c r="AP10" s="31" t="s">
        <v>53</v>
      </c>
      <c r="AQ10" t="s">
        <v>63</v>
      </c>
      <c r="AR10" s="11">
        <f t="shared" si="8"/>
        <v>1.0929233248287902</v>
      </c>
    </row>
    <row r="11" spans="1:51" x14ac:dyDescent="0.3">
      <c r="A11" s="8" t="s">
        <v>108</v>
      </c>
      <c r="B11" s="30"/>
      <c r="C11" s="23">
        <v>10</v>
      </c>
      <c r="D11" s="21">
        <v>210875</v>
      </c>
      <c r="E11" s="8" t="s">
        <v>42</v>
      </c>
      <c r="F11" s="2" t="s">
        <v>44</v>
      </c>
      <c r="G11">
        <v>2</v>
      </c>
      <c r="H11" s="3" t="s">
        <v>47</v>
      </c>
      <c r="I11" s="5">
        <v>46008</v>
      </c>
      <c r="J11" s="2" t="s">
        <v>89</v>
      </c>
      <c r="K11" s="19">
        <f t="shared" ca="1" si="0"/>
        <v>21</v>
      </c>
      <c r="L11" s="2" t="s">
        <v>52</v>
      </c>
      <c r="M11" s="2" t="s">
        <v>111</v>
      </c>
      <c r="N11" s="2" t="s">
        <v>58</v>
      </c>
      <c r="O11" s="2">
        <v>8</v>
      </c>
      <c r="P11" s="2" t="s">
        <v>59</v>
      </c>
      <c r="Q11" t="s">
        <v>118</v>
      </c>
      <c r="R11" s="11">
        <v>15</v>
      </c>
      <c r="S11" t="s">
        <v>75</v>
      </c>
      <c r="T11" s="2" t="s">
        <v>63</v>
      </c>
      <c r="U11" s="2" t="s">
        <v>113</v>
      </c>
      <c r="V11" s="2" t="s">
        <v>68</v>
      </c>
      <c r="W11" t="s">
        <v>76</v>
      </c>
      <c r="X11" t="s">
        <v>119</v>
      </c>
      <c r="Y11" s="2" t="s">
        <v>59</v>
      </c>
      <c r="Z11" s="2">
        <v>216</v>
      </c>
      <c r="AA11" s="2">
        <v>86</v>
      </c>
      <c r="AB11" s="2">
        <v>17</v>
      </c>
      <c r="AC11" s="11">
        <f t="shared" si="1"/>
        <v>319</v>
      </c>
      <c r="AD11" s="20">
        <f t="shared" si="2"/>
        <v>1.5127445168938946E-3</v>
      </c>
      <c r="AE11" s="11">
        <f t="shared" si="3"/>
        <v>1.5127445168938944</v>
      </c>
      <c r="AF11" s="11">
        <f t="shared" si="4"/>
        <v>4.078245406046236E-2</v>
      </c>
      <c r="AG11" s="11">
        <f t="shared" si="5"/>
        <v>8.0616478956727911E-3</v>
      </c>
      <c r="AH11" s="11">
        <f t="shared" si="6"/>
        <v>0.39814814814814814</v>
      </c>
      <c r="AI11" s="2" t="s">
        <v>63</v>
      </c>
      <c r="AJ11" s="2" t="s">
        <v>63</v>
      </c>
      <c r="AK11" t="s">
        <v>120</v>
      </c>
      <c r="AL11" s="11" t="s">
        <v>121</v>
      </c>
      <c r="AM11" t="str">
        <f t="shared" si="7"/>
        <v>Wednesday</v>
      </c>
      <c r="AN11" s="8" t="s">
        <v>63</v>
      </c>
      <c r="AO11" s="31"/>
      <c r="AP11" s="31"/>
      <c r="AQ11" t="s">
        <v>63</v>
      </c>
      <c r="AR11" s="11">
        <f t="shared" si="8"/>
        <v>1.1713441654357459</v>
      </c>
    </row>
    <row r="12" spans="1:51" x14ac:dyDescent="0.3">
      <c r="A12" s="8" t="s">
        <v>108</v>
      </c>
      <c r="B12" s="30"/>
      <c r="C12" s="23">
        <v>10</v>
      </c>
      <c r="D12" s="21">
        <v>210875</v>
      </c>
      <c r="E12" s="8" t="s">
        <v>42</v>
      </c>
      <c r="F12" s="2" t="s">
        <v>45</v>
      </c>
      <c r="G12">
        <v>3</v>
      </c>
      <c r="H12" s="3" t="s">
        <v>47</v>
      </c>
      <c r="I12" s="5">
        <v>46007</v>
      </c>
      <c r="J12" s="2" t="s">
        <v>89</v>
      </c>
      <c r="K12" s="19">
        <f t="shared" ca="1" si="0"/>
        <v>22</v>
      </c>
      <c r="L12" s="2" t="s">
        <v>52</v>
      </c>
      <c r="M12" s="2" t="s">
        <v>112</v>
      </c>
      <c r="N12" s="2" t="s">
        <v>58</v>
      </c>
      <c r="O12" s="2">
        <v>1</v>
      </c>
      <c r="P12" s="2" t="s">
        <v>59</v>
      </c>
      <c r="Q12" t="s">
        <v>122</v>
      </c>
      <c r="R12" s="11">
        <v>10</v>
      </c>
      <c r="S12" t="s">
        <v>75</v>
      </c>
      <c r="T12" s="2" t="s">
        <v>63</v>
      </c>
      <c r="U12" s="2" t="s">
        <v>113</v>
      </c>
      <c r="V12" s="2" t="s">
        <v>68</v>
      </c>
      <c r="W12" t="s">
        <v>76</v>
      </c>
      <c r="X12" t="s">
        <v>119</v>
      </c>
      <c r="Y12" s="2" t="s">
        <v>59</v>
      </c>
      <c r="Z12" s="2">
        <v>831</v>
      </c>
      <c r="AA12" s="2">
        <v>148</v>
      </c>
      <c r="AB12" s="2">
        <v>78</v>
      </c>
      <c r="AC12" s="11">
        <f t="shared" si="1"/>
        <v>1057</v>
      </c>
      <c r="AD12" s="20">
        <f t="shared" si="2"/>
        <v>5.012448132780083E-3</v>
      </c>
      <c r="AE12" s="11">
        <f t="shared" si="3"/>
        <v>5.0124481327800829</v>
      </c>
      <c r="AF12" s="11">
        <f t="shared" si="4"/>
        <v>7.018375815056313E-2</v>
      </c>
      <c r="AG12" s="11">
        <f t="shared" si="5"/>
        <v>3.6988737403675163E-2</v>
      </c>
      <c r="AH12" s="11">
        <f t="shared" si="6"/>
        <v>0.17809867629362214</v>
      </c>
      <c r="AI12" s="2" t="s">
        <v>63</v>
      </c>
      <c r="AJ12" s="2" t="s">
        <v>63</v>
      </c>
      <c r="AK12" t="s">
        <v>123</v>
      </c>
      <c r="AL12" s="11" t="s">
        <v>124</v>
      </c>
      <c r="AM12" t="str">
        <f t="shared" si="7"/>
        <v>Tuesday</v>
      </c>
      <c r="AN12" s="8" t="s">
        <v>63</v>
      </c>
      <c r="AO12" s="31"/>
      <c r="AP12" s="31"/>
      <c r="AQ12" t="s">
        <v>63</v>
      </c>
      <c r="AR12" s="11">
        <f t="shared" si="8"/>
        <v>1.56774540083255</v>
      </c>
    </row>
    <row r="13" spans="1:51" x14ac:dyDescent="0.3">
      <c r="A13" s="8" t="s">
        <v>108</v>
      </c>
      <c r="B13" s="30"/>
      <c r="C13" s="23">
        <v>10</v>
      </c>
      <c r="D13" s="21">
        <v>210875</v>
      </c>
      <c r="E13" s="8" t="s">
        <v>42</v>
      </c>
      <c r="F13" s="2" t="s">
        <v>46</v>
      </c>
      <c r="G13">
        <v>4</v>
      </c>
      <c r="H13" s="3" t="s">
        <v>47</v>
      </c>
      <c r="I13" s="5">
        <v>46007</v>
      </c>
      <c r="J13" s="2" t="s">
        <v>89</v>
      </c>
      <c r="K13" s="19">
        <f t="shared" ca="1" si="0"/>
        <v>22</v>
      </c>
      <c r="L13" s="2" t="s">
        <v>52</v>
      </c>
      <c r="M13" s="2" t="s">
        <v>112</v>
      </c>
      <c r="N13" s="2" t="s">
        <v>58</v>
      </c>
      <c r="O13" s="2">
        <v>10</v>
      </c>
      <c r="P13" s="2" t="s">
        <v>59</v>
      </c>
      <c r="Q13" t="s">
        <v>125</v>
      </c>
      <c r="R13" s="11">
        <v>7</v>
      </c>
      <c r="S13" t="s">
        <v>75</v>
      </c>
      <c r="T13" s="2" t="s">
        <v>63</v>
      </c>
      <c r="U13" s="2" t="s">
        <v>113</v>
      </c>
      <c r="V13" s="2" t="s">
        <v>68</v>
      </c>
      <c r="W13" t="s">
        <v>76</v>
      </c>
      <c r="X13" t="s">
        <v>119</v>
      </c>
      <c r="Y13" s="2" t="s">
        <v>59</v>
      </c>
      <c r="Z13" s="2">
        <v>545</v>
      </c>
      <c r="AA13" s="2">
        <v>148</v>
      </c>
      <c r="AB13" s="2">
        <v>84</v>
      </c>
      <c r="AC13" s="11">
        <f t="shared" si="1"/>
        <v>777</v>
      </c>
      <c r="AD13" s="20">
        <f t="shared" si="2"/>
        <v>3.6846473029045644E-3</v>
      </c>
      <c r="AE13" s="11">
        <f t="shared" si="3"/>
        <v>3.6846473029045645</v>
      </c>
      <c r="AF13" s="11">
        <f t="shared" si="4"/>
        <v>7.018375815056313E-2</v>
      </c>
      <c r="AG13" s="11">
        <f t="shared" si="5"/>
        <v>3.9834024896265564E-2</v>
      </c>
      <c r="AH13" s="11">
        <f t="shared" si="6"/>
        <v>0.27155963302752295</v>
      </c>
      <c r="AI13" s="2" t="s">
        <v>63</v>
      </c>
      <c r="AJ13" s="2" t="s">
        <v>63</v>
      </c>
      <c r="AK13" t="s">
        <v>126</v>
      </c>
      <c r="AL13" s="11" t="s">
        <v>127</v>
      </c>
      <c r="AM13" t="str">
        <f t="shared" si="7"/>
        <v>Tuesday</v>
      </c>
      <c r="AN13" s="8" t="s">
        <v>63</v>
      </c>
      <c r="AO13" s="31"/>
      <c r="AP13" s="31"/>
      <c r="AQ13" t="s">
        <v>63</v>
      </c>
      <c r="AR13" s="11">
        <f t="shared" si="8"/>
        <v>1.4173492681616757</v>
      </c>
    </row>
    <row r="14" spans="1:51" x14ac:dyDescent="0.3">
      <c r="A14" s="8" t="s">
        <v>128</v>
      </c>
      <c r="B14" s="30" t="s">
        <v>129</v>
      </c>
      <c r="C14" s="23">
        <v>500</v>
      </c>
      <c r="D14" s="21">
        <v>87882</v>
      </c>
      <c r="E14" s="8" t="s">
        <v>42</v>
      </c>
      <c r="F14" s="2" t="s">
        <v>130</v>
      </c>
      <c r="G14">
        <v>1</v>
      </c>
      <c r="H14" s="3" t="s">
        <v>47</v>
      </c>
      <c r="I14" s="5">
        <v>46007</v>
      </c>
      <c r="J14" s="2" t="s">
        <v>89</v>
      </c>
      <c r="K14" s="19">
        <f t="shared" ca="1" si="0"/>
        <v>22</v>
      </c>
      <c r="L14" s="2" t="s">
        <v>132</v>
      </c>
      <c r="M14" s="2" t="s">
        <v>133</v>
      </c>
      <c r="N14" s="2" t="s">
        <v>58</v>
      </c>
      <c r="O14" s="2">
        <v>1</v>
      </c>
      <c r="P14" s="2" t="s">
        <v>59</v>
      </c>
      <c r="Q14" t="s">
        <v>177</v>
      </c>
      <c r="R14" s="11">
        <v>11</v>
      </c>
      <c r="S14" t="s">
        <v>75</v>
      </c>
      <c r="T14" s="2" t="s">
        <v>63</v>
      </c>
      <c r="U14" t="s">
        <v>135</v>
      </c>
      <c r="V14" s="2" t="s">
        <v>68</v>
      </c>
      <c r="W14" t="s">
        <v>76</v>
      </c>
      <c r="X14" t="s">
        <v>136</v>
      </c>
      <c r="Y14" s="2" t="s">
        <v>62</v>
      </c>
      <c r="Z14" s="2">
        <v>56</v>
      </c>
      <c r="AA14" s="2">
        <v>9</v>
      </c>
      <c r="AB14" s="2">
        <v>1</v>
      </c>
      <c r="AC14" s="11">
        <f t="shared" si="1"/>
        <v>66</v>
      </c>
      <c r="AD14" s="20">
        <f t="shared" si="2"/>
        <v>7.510070321567556E-4</v>
      </c>
      <c r="AE14" s="11">
        <f t="shared" si="3"/>
        <v>0.75100703215675557</v>
      </c>
      <c r="AF14" s="11">
        <f t="shared" si="4"/>
        <v>1.0241004983955759E-2</v>
      </c>
      <c r="AG14" s="11">
        <f t="shared" si="5"/>
        <v>1.137889442661751E-3</v>
      </c>
      <c r="AH14" s="11">
        <f t="shared" si="6"/>
        <v>0.16071428571428573</v>
      </c>
      <c r="AI14" s="2" t="s">
        <v>63</v>
      </c>
      <c r="AJ14" s="2" t="s">
        <v>63</v>
      </c>
      <c r="AK14" t="s">
        <v>138</v>
      </c>
      <c r="AL14" s="11" t="s">
        <v>137</v>
      </c>
      <c r="AM14" t="str">
        <f t="shared" si="7"/>
        <v>Tuesday</v>
      </c>
      <c r="AN14" s="8" t="s">
        <v>63</v>
      </c>
      <c r="AO14" s="31" t="s">
        <v>90</v>
      </c>
      <c r="AP14" s="31" t="s">
        <v>132</v>
      </c>
      <c r="AQ14" t="s">
        <v>63</v>
      </c>
      <c r="AR14" s="11">
        <f t="shared" si="8"/>
        <v>1.0354505169867061</v>
      </c>
    </row>
    <row r="15" spans="1:51" x14ac:dyDescent="0.3">
      <c r="A15" s="8" t="s">
        <v>128</v>
      </c>
      <c r="B15" s="30"/>
      <c r="C15" s="23">
        <v>500</v>
      </c>
      <c r="D15" s="21">
        <v>87882</v>
      </c>
      <c r="E15" s="8" t="s">
        <v>42</v>
      </c>
      <c r="F15" s="2" t="s">
        <v>131</v>
      </c>
      <c r="G15">
        <v>2</v>
      </c>
      <c r="H15" s="3" t="s">
        <v>47</v>
      </c>
      <c r="I15" s="5">
        <v>46007</v>
      </c>
      <c r="J15" s="2" t="s">
        <v>89</v>
      </c>
      <c r="K15" s="19">
        <f t="shared" ca="1" si="0"/>
        <v>22</v>
      </c>
      <c r="L15" s="2" t="s">
        <v>90</v>
      </c>
      <c r="M15" s="2" t="s">
        <v>110</v>
      </c>
      <c r="N15" s="2" t="s">
        <v>57</v>
      </c>
      <c r="O15" s="2">
        <v>1</v>
      </c>
      <c r="P15" s="2" t="s">
        <v>59</v>
      </c>
      <c r="Q15" t="s">
        <v>139</v>
      </c>
      <c r="R15" s="11">
        <v>11</v>
      </c>
      <c r="S15" s="2" t="s">
        <v>61</v>
      </c>
      <c r="T15" s="2" t="s">
        <v>63</v>
      </c>
      <c r="U15" t="s">
        <v>140</v>
      </c>
      <c r="V15" s="2" t="s">
        <v>141</v>
      </c>
      <c r="W15" s="2" t="s">
        <v>142</v>
      </c>
      <c r="X15" t="s">
        <v>115</v>
      </c>
      <c r="Y15" s="2" t="s">
        <v>62</v>
      </c>
      <c r="Z15" s="2">
        <v>611</v>
      </c>
      <c r="AA15" s="2">
        <v>322</v>
      </c>
      <c r="AB15" s="2">
        <v>33</v>
      </c>
      <c r="AC15" s="11">
        <f t="shared" si="1"/>
        <v>966</v>
      </c>
      <c r="AD15" s="20">
        <f t="shared" si="2"/>
        <v>1.0992012016112515E-2</v>
      </c>
      <c r="AE15" s="11">
        <f t="shared" si="3"/>
        <v>10.992012016112515</v>
      </c>
      <c r="AF15" s="11">
        <f t="shared" si="4"/>
        <v>0.36640040053708384</v>
      </c>
      <c r="AG15" s="11">
        <f t="shared" si="5"/>
        <v>3.7550351607837783E-2</v>
      </c>
      <c r="AH15" s="11">
        <f t="shared" si="6"/>
        <v>0.52700490998363336</v>
      </c>
      <c r="AI15" s="2" t="s">
        <v>63</v>
      </c>
      <c r="AJ15" s="2" t="s">
        <v>63</v>
      </c>
      <c r="AK15" t="s">
        <v>143</v>
      </c>
      <c r="AL15" s="11" t="s">
        <v>71</v>
      </c>
      <c r="AM15" t="str">
        <f t="shared" si="7"/>
        <v>Tuesday</v>
      </c>
      <c r="AN15" s="8" t="s">
        <v>63</v>
      </c>
      <c r="AO15" s="31"/>
      <c r="AP15" s="31"/>
      <c r="AQ15" t="s">
        <v>63</v>
      </c>
      <c r="AR15" s="11">
        <f t="shared" si="8"/>
        <v>1.5188666577145158</v>
      </c>
    </row>
    <row r="16" spans="1:51" x14ac:dyDescent="0.3">
      <c r="A16" s="8" t="s">
        <v>128</v>
      </c>
      <c r="B16" s="30"/>
      <c r="C16" s="23">
        <v>500</v>
      </c>
      <c r="D16" s="21">
        <v>87882</v>
      </c>
      <c r="E16" s="8" t="s">
        <v>42</v>
      </c>
      <c r="F16" s="4" t="s">
        <v>85</v>
      </c>
      <c r="G16">
        <v>3</v>
      </c>
      <c r="H16" s="3" t="s">
        <v>47</v>
      </c>
      <c r="I16" s="5">
        <v>46006</v>
      </c>
      <c r="J16" s="2" t="s">
        <v>89</v>
      </c>
      <c r="K16" s="19">
        <f t="shared" ca="1" si="0"/>
        <v>23</v>
      </c>
      <c r="L16" s="2" t="s">
        <v>90</v>
      </c>
      <c r="M16" s="2" t="s">
        <v>110</v>
      </c>
      <c r="N16" s="2" t="s">
        <v>58</v>
      </c>
      <c r="O16" s="2">
        <v>1</v>
      </c>
      <c r="P16" s="2" t="s">
        <v>59</v>
      </c>
      <c r="Q16" s="9" t="s">
        <v>144</v>
      </c>
      <c r="R16" s="11">
        <v>7</v>
      </c>
      <c r="S16" t="s">
        <v>75</v>
      </c>
      <c r="T16" s="2" t="s">
        <v>63</v>
      </c>
      <c r="U16" t="s">
        <v>145</v>
      </c>
      <c r="V16" s="2" t="s">
        <v>141</v>
      </c>
      <c r="W16" t="s">
        <v>76</v>
      </c>
      <c r="X16" t="s">
        <v>146</v>
      </c>
      <c r="Y16" s="2" t="s">
        <v>62</v>
      </c>
      <c r="Z16" s="2">
        <v>1423</v>
      </c>
      <c r="AA16" s="2">
        <v>287</v>
      </c>
      <c r="AB16" s="2">
        <v>306</v>
      </c>
      <c r="AC16" s="11">
        <f t="shared" si="1"/>
        <v>2016</v>
      </c>
      <c r="AD16" s="20">
        <f t="shared" si="2"/>
        <v>2.2939851164060901E-2</v>
      </c>
      <c r="AE16" s="11">
        <f t="shared" si="3"/>
        <v>22.939851164060901</v>
      </c>
      <c r="AF16" s="11">
        <f t="shared" si="4"/>
        <v>0.32657427004392253</v>
      </c>
      <c r="AG16" s="11">
        <f t="shared" si="5"/>
        <v>0.34819416945449583</v>
      </c>
      <c r="AH16" s="11">
        <f t="shared" si="6"/>
        <v>0.20168657765284609</v>
      </c>
      <c r="AI16" s="2" t="s">
        <v>63</v>
      </c>
      <c r="AJ16" s="2" t="s">
        <v>63</v>
      </c>
      <c r="AK16" t="s">
        <v>147</v>
      </c>
      <c r="AL16" s="11" t="s">
        <v>148</v>
      </c>
      <c r="AM16" t="str">
        <f t="shared" si="7"/>
        <v>Monday</v>
      </c>
      <c r="AN16" s="8" t="s">
        <v>63</v>
      </c>
      <c r="AO16" s="31"/>
      <c r="AP16" s="31"/>
      <c r="AQ16" t="s">
        <v>63</v>
      </c>
      <c r="AR16" s="11">
        <f t="shared" si="8"/>
        <v>2.0828521552302943</v>
      </c>
    </row>
    <row r="17" spans="1:44" x14ac:dyDescent="0.3">
      <c r="A17" s="8" t="s">
        <v>128</v>
      </c>
      <c r="B17" s="30"/>
      <c r="C17" s="23">
        <v>500</v>
      </c>
      <c r="D17" s="21">
        <v>87882</v>
      </c>
      <c r="E17" s="8" t="s">
        <v>42</v>
      </c>
      <c r="F17" s="2" t="s">
        <v>87</v>
      </c>
      <c r="G17">
        <v>4</v>
      </c>
      <c r="H17" s="3" t="s">
        <v>47</v>
      </c>
      <c r="I17" s="5">
        <v>46005</v>
      </c>
      <c r="J17" s="2" t="s">
        <v>89</v>
      </c>
      <c r="K17" s="19">
        <f t="shared" ca="1" si="0"/>
        <v>24</v>
      </c>
      <c r="L17" s="2" t="s">
        <v>90</v>
      </c>
      <c r="M17" s="2" t="s">
        <v>134</v>
      </c>
      <c r="N17" s="2" t="s">
        <v>58</v>
      </c>
      <c r="O17" s="2">
        <v>1</v>
      </c>
      <c r="P17" s="2" t="s">
        <v>59</v>
      </c>
      <c r="Q17" s="2" t="s">
        <v>149</v>
      </c>
      <c r="R17" s="11">
        <v>6</v>
      </c>
      <c r="S17" t="s">
        <v>75</v>
      </c>
      <c r="T17" s="2" t="s">
        <v>63</v>
      </c>
      <c r="U17" t="s">
        <v>145</v>
      </c>
      <c r="V17" s="2" t="s">
        <v>141</v>
      </c>
      <c r="W17" t="s">
        <v>76</v>
      </c>
      <c r="X17" t="s">
        <v>150</v>
      </c>
      <c r="Y17" s="2" t="s">
        <v>62</v>
      </c>
      <c r="Z17" s="2">
        <v>1269</v>
      </c>
      <c r="AA17" s="2">
        <v>283</v>
      </c>
      <c r="AB17" s="2">
        <v>118</v>
      </c>
      <c r="AC17" s="11">
        <f t="shared" si="1"/>
        <v>1670</v>
      </c>
      <c r="AD17" s="20">
        <f t="shared" si="2"/>
        <v>1.9002753692451243E-2</v>
      </c>
      <c r="AE17" s="11">
        <f t="shared" si="3"/>
        <v>19.002753692451243</v>
      </c>
      <c r="AF17" s="11">
        <f t="shared" si="4"/>
        <v>0.32202271227327556</v>
      </c>
      <c r="AG17" s="11">
        <f t="shared" si="5"/>
        <v>0.13427095423408661</v>
      </c>
      <c r="AH17" s="11">
        <f t="shared" si="6"/>
        <v>0.22301024428684002</v>
      </c>
      <c r="AI17" s="2" t="s">
        <v>63</v>
      </c>
      <c r="AJ17" s="2" t="s">
        <v>63</v>
      </c>
      <c r="AK17" s="2" t="s">
        <v>52</v>
      </c>
      <c r="AL17" s="12" t="s">
        <v>151</v>
      </c>
      <c r="AM17" t="str">
        <f t="shared" si="7"/>
        <v>Sunday</v>
      </c>
      <c r="AN17" s="8" t="s">
        <v>63</v>
      </c>
      <c r="AO17" s="31"/>
      <c r="AP17" s="31"/>
      <c r="AQ17" t="s">
        <v>63</v>
      </c>
      <c r="AR17" s="11">
        <f t="shared" si="8"/>
        <v>1.897005505572714</v>
      </c>
    </row>
    <row r="18" spans="1:44" x14ac:dyDescent="0.3">
      <c r="A18" s="8" t="s">
        <v>152</v>
      </c>
      <c r="B18" s="30" t="s">
        <v>153</v>
      </c>
      <c r="C18" s="23">
        <v>10</v>
      </c>
      <c r="D18" s="21">
        <v>89555</v>
      </c>
      <c r="E18" s="8" t="s">
        <v>42</v>
      </c>
      <c r="F18" s="4" t="s">
        <v>85</v>
      </c>
      <c r="G18">
        <v>1</v>
      </c>
      <c r="H18" s="3" t="s">
        <v>47</v>
      </c>
      <c r="I18" s="5">
        <v>46008</v>
      </c>
      <c r="J18" s="2" t="s">
        <v>89</v>
      </c>
      <c r="K18" s="19">
        <f t="shared" ca="1" si="0"/>
        <v>21</v>
      </c>
      <c r="L18" s="2" t="s">
        <v>53</v>
      </c>
      <c r="M18" s="2" t="s">
        <v>164</v>
      </c>
      <c r="N18" s="2" t="s">
        <v>58</v>
      </c>
      <c r="O18" s="2">
        <v>1</v>
      </c>
      <c r="P18" s="2" t="s">
        <v>59</v>
      </c>
      <c r="Q18" t="s">
        <v>172</v>
      </c>
      <c r="R18" s="11">
        <v>19</v>
      </c>
      <c r="S18" t="s">
        <v>75</v>
      </c>
      <c r="T18" s="2" t="s">
        <v>62</v>
      </c>
      <c r="U18" s="2" t="s">
        <v>66</v>
      </c>
      <c r="V18" s="2" t="s">
        <v>173</v>
      </c>
      <c r="W18" s="2" t="s">
        <v>173</v>
      </c>
      <c r="X18" s="2" t="s">
        <v>173</v>
      </c>
      <c r="Y18" s="2" t="s">
        <v>62</v>
      </c>
      <c r="Z18" s="2">
        <v>249</v>
      </c>
      <c r="AA18" s="2">
        <v>139</v>
      </c>
      <c r="AB18" s="2">
        <v>7</v>
      </c>
      <c r="AC18" s="11">
        <f t="shared" si="1"/>
        <v>395</v>
      </c>
      <c r="AD18" s="20">
        <f t="shared" si="2"/>
        <v>4.4106973368321142E-3</v>
      </c>
      <c r="AE18" s="11">
        <f t="shared" si="3"/>
        <v>4.4106973368321141</v>
      </c>
      <c r="AF18" s="11">
        <f t="shared" si="4"/>
        <v>0.1552118809670035</v>
      </c>
      <c r="AG18" s="11">
        <f t="shared" si="5"/>
        <v>7.8164256602088113E-3</v>
      </c>
      <c r="AH18" s="11">
        <f t="shared" si="6"/>
        <v>0.55823293172690758</v>
      </c>
      <c r="AI18" s="2" t="s">
        <v>59</v>
      </c>
      <c r="AJ18" s="2" t="s">
        <v>62</v>
      </c>
      <c r="AK18" t="s">
        <v>174</v>
      </c>
      <c r="AL18" t="s">
        <v>175</v>
      </c>
      <c r="AM18" t="str">
        <f t="shared" si="7"/>
        <v>Wednesday</v>
      </c>
      <c r="AN18" s="8" t="s">
        <v>63</v>
      </c>
      <c r="AO18" s="31" t="s">
        <v>90</v>
      </c>
      <c r="AP18" s="31" t="s">
        <v>53</v>
      </c>
      <c r="AQ18" t="s">
        <v>63</v>
      </c>
      <c r="AR18" s="11">
        <f t="shared" si="8"/>
        <v>1.2121659728749832</v>
      </c>
    </row>
    <row r="19" spans="1:44" x14ac:dyDescent="0.3">
      <c r="A19" s="8" t="s">
        <v>152</v>
      </c>
      <c r="B19" s="30"/>
      <c r="C19" s="23">
        <v>10</v>
      </c>
      <c r="D19" s="21">
        <v>89555</v>
      </c>
      <c r="E19" s="8" t="s">
        <v>42</v>
      </c>
      <c r="F19" s="2" t="s">
        <v>44</v>
      </c>
      <c r="G19">
        <v>2</v>
      </c>
      <c r="H19" s="3" t="s">
        <v>47</v>
      </c>
      <c r="I19" s="5">
        <v>46007</v>
      </c>
      <c r="J19" s="2" t="s">
        <v>89</v>
      </c>
      <c r="K19" s="19">
        <f t="shared" ca="1" si="0"/>
        <v>22</v>
      </c>
      <c r="L19" s="2" t="s">
        <v>52</v>
      </c>
      <c r="M19" s="2" t="s">
        <v>165</v>
      </c>
      <c r="N19" s="2" t="s">
        <v>176</v>
      </c>
      <c r="O19" s="2">
        <v>1</v>
      </c>
      <c r="P19" s="2" t="s">
        <v>59</v>
      </c>
      <c r="Q19" t="s">
        <v>178</v>
      </c>
      <c r="R19" s="11">
        <v>19</v>
      </c>
      <c r="S19" s="2" t="s">
        <v>61</v>
      </c>
      <c r="T19" s="2" t="s">
        <v>63</v>
      </c>
      <c r="U19" s="2" t="s">
        <v>170</v>
      </c>
      <c r="V19" s="2" t="s">
        <v>179</v>
      </c>
      <c r="W19" t="s">
        <v>76</v>
      </c>
      <c r="X19" t="s">
        <v>180</v>
      </c>
      <c r="Y19" s="2" t="s">
        <v>59</v>
      </c>
      <c r="Z19" s="2">
        <v>357</v>
      </c>
      <c r="AA19" s="2">
        <v>107</v>
      </c>
      <c r="AB19" s="2">
        <v>19</v>
      </c>
      <c r="AC19" s="11">
        <f t="shared" si="1"/>
        <v>483</v>
      </c>
      <c r="AD19" s="20">
        <f t="shared" si="2"/>
        <v>5.393333705544079E-3</v>
      </c>
      <c r="AE19" s="11">
        <f t="shared" si="3"/>
        <v>5.3933337055440793</v>
      </c>
      <c r="AF19" s="11">
        <f t="shared" si="4"/>
        <v>0.11947964937747753</v>
      </c>
      <c r="AG19" s="11">
        <f t="shared" si="5"/>
        <v>2.1216012506281055E-2</v>
      </c>
      <c r="AH19" s="11">
        <f t="shared" si="6"/>
        <v>0.29971988795518206</v>
      </c>
      <c r="AI19" s="2" t="s">
        <v>59</v>
      </c>
      <c r="AJ19" s="2" t="s">
        <v>62</v>
      </c>
      <c r="AK19" t="s">
        <v>181</v>
      </c>
      <c r="AL19" t="s">
        <v>81</v>
      </c>
      <c r="AM19" t="str">
        <f t="shared" si="7"/>
        <v>Tuesday</v>
      </c>
      <c r="AN19" s="8" t="s">
        <v>63</v>
      </c>
      <c r="AO19" s="31"/>
      <c r="AP19" s="31"/>
      <c r="AQ19" t="s">
        <v>63</v>
      </c>
      <c r="AR19" s="11">
        <f t="shared" si="8"/>
        <v>1.2594333288572579</v>
      </c>
    </row>
    <row r="20" spans="1:44" x14ac:dyDescent="0.3">
      <c r="A20" s="8" t="s">
        <v>152</v>
      </c>
      <c r="B20" s="30"/>
      <c r="C20" s="23">
        <v>10</v>
      </c>
      <c r="D20" s="21">
        <v>89555</v>
      </c>
      <c r="E20" s="8" t="s">
        <v>42</v>
      </c>
      <c r="F20" s="2" t="s">
        <v>154</v>
      </c>
      <c r="G20">
        <v>3</v>
      </c>
      <c r="H20" s="3" t="s">
        <v>47</v>
      </c>
      <c r="I20" s="5">
        <v>46006</v>
      </c>
      <c r="J20" s="2" t="s">
        <v>89</v>
      </c>
      <c r="K20" s="19">
        <f t="shared" ca="1" si="0"/>
        <v>23</v>
      </c>
      <c r="L20" s="2" t="s">
        <v>53</v>
      </c>
      <c r="M20" s="2" t="s">
        <v>164</v>
      </c>
      <c r="N20" s="2" t="s">
        <v>58</v>
      </c>
      <c r="O20" s="2">
        <v>1</v>
      </c>
      <c r="P20" s="2" t="s">
        <v>59</v>
      </c>
      <c r="Q20" t="s">
        <v>182</v>
      </c>
      <c r="R20" s="11">
        <v>7</v>
      </c>
      <c r="S20" s="2" t="s">
        <v>75</v>
      </c>
      <c r="T20" s="2" t="s">
        <v>63</v>
      </c>
      <c r="U20" s="2" t="s">
        <v>169</v>
      </c>
      <c r="V20" s="2" t="s">
        <v>141</v>
      </c>
      <c r="W20" t="s">
        <v>76</v>
      </c>
      <c r="X20" t="s">
        <v>150</v>
      </c>
      <c r="Y20" s="2" t="s">
        <v>59</v>
      </c>
      <c r="Z20" s="2">
        <v>426</v>
      </c>
      <c r="AA20" s="2">
        <v>133</v>
      </c>
      <c r="AB20" s="2">
        <v>7</v>
      </c>
      <c r="AC20" s="11">
        <f t="shared" si="1"/>
        <v>566</v>
      </c>
      <c r="AD20" s="20">
        <f t="shared" si="2"/>
        <v>6.3201384623974097E-3</v>
      </c>
      <c r="AE20" s="11">
        <f t="shared" si="3"/>
        <v>6.3201384623974102</v>
      </c>
      <c r="AF20" s="11">
        <f t="shared" si="4"/>
        <v>0.14851208754396741</v>
      </c>
      <c r="AG20" s="11">
        <f t="shared" si="5"/>
        <v>7.8164256602088113E-3</v>
      </c>
      <c r="AH20" s="11">
        <f t="shared" si="6"/>
        <v>0.31220657276995306</v>
      </c>
      <c r="AI20" s="2" t="s">
        <v>59</v>
      </c>
      <c r="AJ20" s="2" t="s">
        <v>171</v>
      </c>
      <c r="AK20" t="s">
        <v>183</v>
      </c>
      <c r="AL20" s="11" t="s">
        <v>71</v>
      </c>
      <c r="AM20" t="str">
        <f t="shared" si="7"/>
        <v>Monday</v>
      </c>
      <c r="AN20" s="8" t="s">
        <v>63</v>
      </c>
      <c r="AO20" s="31"/>
      <c r="AP20" s="31"/>
      <c r="AQ20" t="s">
        <v>63</v>
      </c>
      <c r="AR20" s="11">
        <f t="shared" si="8"/>
        <v>1.304015039613267</v>
      </c>
    </row>
    <row r="21" spans="1:44" x14ac:dyDescent="0.3">
      <c r="A21" s="8" t="s">
        <v>152</v>
      </c>
      <c r="B21" s="30"/>
      <c r="C21" s="23">
        <v>10</v>
      </c>
      <c r="D21" s="21">
        <v>89555</v>
      </c>
      <c r="E21" s="8" t="s">
        <v>42</v>
      </c>
      <c r="F21" s="2" t="s">
        <v>155</v>
      </c>
      <c r="G21">
        <v>4</v>
      </c>
      <c r="H21" s="3" t="s">
        <v>47</v>
      </c>
      <c r="I21" s="5">
        <v>46003</v>
      </c>
      <c r="J21" s="2" t="s">
        <v>89</v>
      </c>
      <c r="K21" s="19">
        <f t="shared" ca="1" si="0"/>
        <v>26</v>
      </c>
      <c r="L21" s="2" t="s">
        <v>90</v>
      </c>
      <c r="M21" s="2" t="s">
        <v>166</v>
      </c>
      <c r="N21" s="2" t="s">
        <v>58</v>
      </c>
      <c r="O21" s="2">
        <v>1</v>
      </c>
      <c r="P21" s="2" t="s">
        <v>59</v>
      </c>
      <c r="Q21" t="s">
        <v>184</v>
      </c>
      <c r="R21" s="11">
        <v>16</v>
      </c>
      <c r="S21" s="2" t="s">
        <v>99</v>
      </c>
      <c r="T21" s="2" t="s">
        <v>63</v>
      </c>
      <c r="U21" s="2" t="s">
        <v>169</v>
      </c>
      <c r="V21" s="2" t="s">
        <v>141</v>
      </c>
      <c r="W21" t="s">
        <v>76</v>
      </c>
      <c r="X21" t="s">
        <v>115</v>
      </c>
      <c r="Y21" s="2" t="s">
        <v>59</v>
      </c>
      <c r="Z21" s="2">
        <v>7266</v>
      </c>
      <c r="AA21" s="2">
        <v>151</v>
      </c>
      <c r="AB21" s="2">
        <v>30</v>
      </c>
      <c r="AC21" s="11">
        <f t="shared" si="1"/>
        <v>7447</v>
      </c>
      <c r="AD21" s="20">
        <f t="shared" si="2"/>
        <v>8.3155602702250017E-2</v>
      </c>
      <c r="AE21" s="11">
        <f t="shared" si="3"/>
        <v>83.155602702250022</v>
      </c>
      <c r="AF21" s="11">
        <f t="shared" si="4"/>
        <v>0.16861146781307576</v>
      </c>
      <c r="AG21" s="11">
        <f t="shared" si="5"/>
        <v>3.349896711518062E-2</v>
      </c>
      <c r="AH21" s="11">
        <f t="shared" si="6"/>
        <v>2.0781723093861823E-2</v>
      </c>
      <c r="AI21" s="2" t="s">
        <v>59</v>
      </c>
      <c r="AJ21" s="2" t="s">
        <v>62</v>
      </c>
      <c r="AK21" t="s">
        <v>185</v>
      </c>
      <c r="AL21" s="11" t="s">
        <v>186</v>
      </c>
      <c r="AM21" t="str">
        <f t="shared" si="7"/>
        <v>Friday</v>
      </c>
      <c r="AN21" s="8" t="s">
        <v>63</v>
      </c>
      <c r="AO21" s="31"/>
      <c r="AP21" s="31"/>
      <c r="AQ21" t="s">
        <v>63</v>
      </c>
      <c r="AR21" s="11">
        <f t="shared" si="8"/>
        <v>5</v>
      </c>
    </row>
    <row r="22" spans="1:44" x14ac:dyDescent="0.3">
      <c r="A22" s="8" t="s">
        <v>156</v>
      </c>
      <c r="B22" s="30" t="s">
        <v>157</v>
      </c>
      <c r="C22" s="23">
        <v>10</v>
      </c>
      <c r="D22" s="21">
        <v>58854</v>
      </c>
      <c r="E22" s="8" t="s">
        <v>42</v>
      </c>
      <c r="F22" s="2" t="s">
        <v>158</v>
      </c>
      <c r="G22">
        <v>1</v>
      </c>
      <c r="H22" s="3" t="s">
        <v>47</v>
      </c>
      <c r="I22" s="5">
        <v>46003</v>
      </c>
      <c r="J22" s="2" t="s">
        <v>89</v>
      </c>
      <c r="K22" s="19">
        <f t="shared" ca="1" si="0"/>
        <v>26</v>
      </c>
      <c r="L22" s="2" t="s">
        <v>162</v>
      </c>
      <c r="M22" s="2" t="s">
        <v>167</v>
      </c>
      <c r="N22" s="2" t="s">
        <v>187</v>
      </c>
      <c r="O22" s="2">
        <v>1</v>
      </c>
      <c r="P22" s="2" t="s">
        <v>59</v>
      </c>
      <c r="Q22" t="s">
        <v>188</v>
      </c>
      <c r="R22" s="11">
        <v>6</v>
      </c>
      <c r="S22" s="2" t="s">
        <v>99</v>
      </c>
      <c r="T22" s="2" t="s">
        <v>62</v>
      </c>
      <c r="U22" s="2" t="s">
        <v>66</v>
      </c>
      <c r="V22" s="2" t="s">
        <v>173</v>
      </c>
      <c r="W22" s="2" t="s">
        <v>173</v>
      </c>
      <c r="X22" s="2" t="s">
        <v>173</v>
      </c>
      <c r="Y22" s="2" t="s">
        <v>62</v>
      </c>
      <c r="Z22" s="2">
        <v>165</v>
      </c>
      <c r="AA22" s="2">
        <v>123</v>
      </c>
      <c r="AB22" s="2">
        <v>1</v>
      </c>
      <c r="AC22" s="11">
        <f t="shared" si="1"/>
        <v>289</v>
      </c>
      <c r="AD22" s="20">
        <f t="shared" si="2"/>
        <v>4.9104563835932983E-3</v>
      </c>
      <c r="AE22" s="11">
        <f t="shared" si="3"/>
        <v>4.9104563835932984</v>
      </c>
      <c r="AF22" s="11">
        <f t="shared" si="4"/>
        <v>0.20899174227750028</v>
      </c>
      <c r="AG22" s="11">
        <f t="shared" si="5"/>
        <v>1.6991198559146363E-3</v>
      </c>
      <c r="AH22" s="11">
        <f t="shared" si="6"/>
        <v>0.74545454545454548</v>
      </c>
      <c r="AI22" s="2" t="s">
        <v>62</v>
      </c>
      <c r="AJ22" s="2" t="s">
        <v>62</v>
      </c>
      <c r="AK22" t="s">
        <v>189</v>
      </c>
      <c r="AL22" t="s">
        <v>190</v>
      </c>
      <c r="AM22" t="str">
        <f t="shared" si="7"/>
        <v>Friday</v>
      </c>
      <c r="AN22" s="8" t="s">
        <v>63</v>
      </c>
      <c r="AO22" s="31" t="s">
        <v>90</v>
      </c>
      <c r="AP22" s="31" t="s">
        <v>202</v>
      </c>
      <c r="AQ22" t="s">
        <v>63</v>
      </c>
      <c r="AR22" s="11">
        <f t="shared" si="8"/>
        <v>1.1552302940781523</v>
      </c>
    </row>
    <row r="23" spans="1:44" x14ac:dyDescent="0.3">
      <c r="A23" s="8" t="s">
        <v>156</v>
      </c>
      <c r="B23" s="30"/>
      <c r="C23" s="23">
        <v>10</v>
      </c>
      <c r="D23" s="21">
        <v>58854</v>
      </c>
      <c r="E23" s="8" t="s">
        <v>42</v>
      </c>
      <c r="F23" t="s">
        <v>159</v>
      </c>
      <c r="G23">
        <v>2</v>
      </c>
      <c r="H23" s="3" t="s">
        <v>47</v>
      </c>
      <c r="I23" s="5">
        <v>46002</v>
      </c>
      <c r="J23" s="2" t="s">
        <v>89</v>
      </c>
      <c r="K23" s="19">
        <f t="shared" ca="1" si="0"/>
        <v>27</v>
      </c>
      <c r="L23" s="2" t="s">
        <v>90</v>
      </c>
      <c r="M23" t="s">
        <v>166</v>
      </c>
      <c r="N23" s="2" t="s">
        <v>58</v>
      </c>
      <c r="O23" s="2">
        <v>1</v>
      </c>
      <c r="P23" s="2" t="s">
        <v>59</v>
      </c>
      <c r="Q23" t="s">
        <v>55</v>
      </c>
      <c r="R23" s="11">
        <v>14</v>
      </c>
      <c r="S23" s="2" t="s">
        <v>75</v>
      </c>
      <c r="T23" s="2" t="s">
        <v>63</v>
      </c>
      <c r="U23" s="2" t="s">
        <v>66</v>
      </c>
      <c r="V23" s="2" t="s">
        <v>141</v>
      </c>
      <c r="W23" s="2" t="s">
        <v>173</v>
      </c>
      <c r="X23" s="2" t="s">
        <v>173</v>
      </c>
      <c r="Y23" s="2" t="s">
        <v>62</v>
      </c>
      <c r="Z23" s="2">
        <v>150</v>
      </c>
      <c r="AA23" s="2">
        <v>132</v>
      </c>
      <c r="AB23" s="2">
        <v>0</v>
      </c>
      <c r="AC23" s="11">
        <f t="shared" si="1"/>
        <v>282</v>
      </c>
      <c r="AD23" s="20">
        <f t="shared" si="2"/>
        <v>4.7915179936792738E-3</v>
      </c>
      <c r="AE23" s="11">
        <f t="shared" si="3"/>
        <v>4.7915179936792738</v>
      </c>
      <c r="AF23" s="11">
        <f t="shared" si="4"/>
        <v>0.22428382098073199</v>
      </c>
      <c r="AG23" s="11">
        <f t="shared" si="5"/>
        <v>0</v>
      </c>
      <c r="AH23" s="11">
        <f t="shared" si="6"/>
        <v>0.88</v>
      </c>
      <c r="AI23" s="2" t="s">
        <v>62</v>
      </c>
      <c r="AJ23" s="2" t="s">
        <v>62</v>
      </c>
      <c r="AK23" t="s">
        <v>191</v>
      </c>
      <c r="AL23" t="s">
        <v>192</v>
      </c>
      <c r="AM23" t="str">
        <f t="shared" si="7"/>
        <v>Thursday</v>
      </c>
      <c r="AN23" s="8" t="s">
        <v>63</v>
      </c>
      <c r="AO23" s="31"/>
      <c r="AP23" s="31"/>
      <c r="AQ23" t="s">
        <v>63</v>
      </c>
      <c r="AR23" s="11">
        <f t="shared" si="8"/>
        <v>1.1514703907613804</v>
      </c>
    </row>
    <row r="24" spans="1:44" x14ac:dyDescent="0.3">
      <c r="A24" s="8" t="s">
        <v>156</v>
      </c>
      <c r="B24" s="30"/>
      <c r="C24" s="23">
        <v>10</v>
      </c>
      <c r="D24" s="21">
        <v>58854</v>
      </c>
      <c r="E24" s="8" t="s">
        <v>42</v>
      </c>
      <c r="F24" t="s">
        <v>160</v>
      </c>
      <c r="G24">
        <v>3</v>
      </c>
      <c r="H24" s="3" t="s">
        <v>47</v>
      </c>
      <c r="I24" s="5">
        <v>45997</v>
      </c>
      <c r="J24" s="2" t="s">
        <v>89</v>
      </c>
      <c r="K24" s="19">
        <f t="shared" ca="1" si="0"/>
        <v>32</v>
      </c>
      <c r="L24" t="s">
        <v>55</v>
      </c>
      <c r="M24" t="s">
        <v>166</v>
      </c>
      <c r="N24" s="2" t="s">
        <v>58</v>
      </c>
      <c r="O24" s="2">
        <v>1</v>
      </c>
      <c r="P24" s="2" t="s">
        <v>59</v>
      </c>
      <c r="Q24" t="s">
        <v>193</v>
      </c>
      <c r="R24" s="11">
        <v>6</v>
      </c>
      <c r="S24" s="2" t="s">
        <v>75</v>
      </c>
      <c r="T24" s="2" t="s">
        <v>63</v>
      </c>
      <c r="U24" t="s">
        <v>194</v>
      </c>
      <c r="V24" s="2" t="s">
        <v>141</v>
      </c>
      <c r="W24" t="s">
        <v>76</v>
      </c>
      <c r="X24" t="s">
        <v>195</v>
      </c>
      <c r="Y24" s="2" t="s">
        <v>62</v>
      </c>
      <c r="Z24" s="2">
        <v>214</v>
      </c>
      <c r="AA24" s="2">
        <v>147</v>
      </c>
      <c r="AB24" s="2">
        <v>2</v>
      </c>
      <c r="AC24" s="11">
        <f t="shared" si="1"/>
        <v>363</v>
      </c>
      <c r="AD24" s="20">
        <f t="shared" si="2"/>
        <v>6.1678050769701292E-3</v>
      </c>
      <c r="AE24" s="11">
        <f t="shared" si="3"/>
        <v>6.1678050769701294</v>
      </c>
      <c r="AF24" s="11">
        <f t="shared" si="4"/>
        <v>0.24977061881945153</v>
      </c>
      <c r="AG24" s="11">
        <f t="shared" si="5"/>
        <v>3.3982397118292726E-3</v>
      </c>
      <c r="AH24" s="11">
        <f t="shared" si="6"/>
        <v>0.68691588785046731</v>
      </c>
      <c r="AI24" s="2" t="s">
        <v>62</v>
      </c>
      <c r="AJ24" s="2" t="s">
        <v>62</v>
      </c>
      <c r="AK24" t="s">
        <v>196</v>
      </c>
      <c r="AL24" s="9" t="s">
        <v>197</v>
      </c>
      <c r="AM24" t="str">
        <f t="shared" si="7"/>
        <v>Saturday</v>
      </c>
      <c r="AN24" s="8" t="s">
        <v>63</v>
      </c>
      <c r="AO24" s="31"/>
      <c r="AP24" s="31"/>
      <c r="AQ24" t="s">
        <v>63</v>
      </c>
      <c r="AR24" s="11">
        <f t="shared" si="8"/>
        <v>1.1949778434268834</v>
      </c>
    </row>
    <row r="25" spans="1:44" x14ac:dyDescent="0.3">
      <c r="A25" s="8" t="s">
        <v>156</v>
      </c>
      <c r="B25" s="30"/>
      <c r="C25" s="23">
        <v>10</v>
      </c>
      <c r="D25" s="21">
        <v>58854</v>
      </c>
      <c r="E25" s="8" t="s">
        <v>42</v>
      </c>
      <c r="F25" t="s">
        <v>161</v>
      </c>
      <c r="G25">
        <v>4</v>
      </c>
      <c r="H25" s="3" t="s">
        <v>47</v>
      </c>
      <c r="I25" s="5">
        <v>45996</v>
      </c>
      <c r="J25" s="2" t="s">
        <v>89</v>
      </c>
      <c r="K25" s="19">
        <f t="shared" ca="1" si="0"/>
        <v>33</v>
      </c>
      <c r="L25" t="s">
        <v>163</v>
      </c>
      <c r="M25" t="s">
        <v>168</v>
      </c>
      <c r="N25" s="2" t="s">
        <v>58</v>
      </c>
      <c r="O25" s="2">
        <v>1</v>
      </c>
      <c r="P25" s="2" t="s">
        <v>59</v>
      </c>
      <c r="Q25" t="s">
        <v>198</v>
      </c>
      <c r="R25" s="11">
        <v>9</v>
      </c>
      <c r="S25" s="2" t="s">
        <v>75</v>
      </c>
      <c r="T25" s="2" t="s">
        <v>63</v>
      </c>
      <c r="U25" t="s">
        <v>194</v>
      </c>
      <c r="V25" s="2" t="s">
        <v>141</v>
      </c>
      <c r="W25" s="2" t="s">
        <v>142</v>
      </c>
      <c r="X25" t="s">
        <v>199</v>
      </c>
      <c r="Y25" s="2" t="s">
        <v>62</v>
      </c>
      <c r="Z25" s="2">
        <v>155</v>
      </c>
      <c r="AA25" s="2">
        <v>103</v>
      </c>
      <c r="AB25" s="2">
        <v>1</v>
      </c>
      <c r="AC25" s="11">
        <f t="shared" si="1"/>
        <v>259</v>
      </c>
      <c r="AD25" s="20">
        <f t="shared" si="2"/>
        <v>4.4007204268189078E-3</v>
      </c>
      <c r="AE25" s="11">
        <f t="shared" si="3"/>
        <v>4.400720426818908</v>
      </c>
      <c r="AF25" s="11">
        <f t="shared" si="4"/>
        <v>0.17500934515920752</v>
      </c>
      <c r="AG25" s="11">
        <f t="shared" si="5"/>
        <v>1.6991198559146363E-3</v>
      </c>
      <c r="AH25" s="11">
        <f t="shared" si="6"/>
        <v>0.6645161290322581</v>
      </c>
      <c r="AI25" s="2" t="s">
        <v>62</v>
      </c>
      <c r="AJ25" s="2" t="s">
        <v>63</v>
      </c>
      <c r="AK25" t="s">
        <v>200</v>
      </c>
      <c r="AL25" t="s">
        <v>201</v>
      </c>
      <c r="AM25" t="str">
        <f t="shared" si="7"/>
        <v>Friday</v>
      </c>
      <c r="AN25" s="8" t="s">
        <v>63</v>
      </c>
      <c r="AO25" s="31"/>
      <c r="AP25" s="31"/>
      <c r="AQ25" t="s">
        <v>63</v>
      </c>
      <c r="AR25" s="11">
        <f t="shared" si="8"/>
        <v>1.1391164227205586</v>
      </c>
    </row>
    <row r="26" spans="1:44" x14ac:dyDescent="0.3">
      <c r="A26" s="8" t="s">
        <v>204</v>
      </c>
      <c r="B26" s="30" t="s">
        <v>210</v>
      </c>
      <c r="C26" s="23">
        <v>1</v>
      </c>
      <c r="D26" s="21">
        <v>701</v>
      </c>
      <c r="E26" s="8" t="s">
        <v>42</v>
      </c>
      <c r="F26" t="s">
        <v>219</v>
      </c>
      <c r="G26">
        <v>1</v>
      </c>
      <c r="H26" s="13" t="s">
        <v>47</v>
      </c>
      <c r="I26" s="17">
        <v>46008</v>
      </c>
      <c r="J26" s="2" t="s">
        <v>89</v>
      </c>
      <c r="K26" s="19">
        <f t="shared" ca="1" si="0"/>
        <v>21</v>
      </c>
      <c r="L26" s="2" t="s">
        <v>90</v>
      </c>
      <c r="M26" t="s">
        <v>223</v>
      </c>
      <c r="N26" s="2" t="s">
        <v>58</v>
      </c>
      <c r="O26" s="2">
        <v>1</v>
      </c>
      <c r="P26" s="2" t="s">
        <v>59</v>
      </c>
      <c r="Q26" t="s">
        <v>188</v>
      </c>
      <c r="R26" s="11">
        <v>9</v>
      </c>
      <c r="S26" s="2" t="s">
        <v>61</v>
      </c>
      <c r="T26" s="2" t="s">
        <v>63</v>
      </c>
      <c r="U26" s="2" t="s">
        <v>224</v>
      </c>
      <c r="V26" s="2" t="s">
        <v>141</v>
      </c>
      <c r="W26" s="2" t="s">
        <v>142</v>
      </c>
      <c r="X26" t="s">
        <v>225</v>
      </c>
      <c r="Y26" s="2" t="s">
        <v>62</v>
      </c>
      <c r="Z26" s="2">
        <v>2</v>
      </c>
      <c r="AA26" s="2">
        <v>0</v>
      </c>
      <c r="AB26" s="2">
        <v>1</v>
      </c>
      <c r="AC26" s="11">
        <f t="shared" si="1"/>
        <v>3</v>
      </c>
      <c r="AD26" s="20">
        <f t="shared" si="2"/>
        <v>4.2796005706134095E-3</v>
      </c>
      <c r="AE26" s="11">
        <f t="shared" si="3"/>
        <v>4.2796005706134093</v>
      </c>
      <c r="AF26" s="11">
        <f t="shared" si="4"/>
        <v>0</v>
      </c>
      <c r="AG26" s="11">
        <f t="shared" si="5"/>
        <v>0.14265335235378032</v>
      </c>
      <c r="AH26" s="11">
        <f t="shared" si="6"/>
        <v>0</v>
      </c>
      <c r="AI26" s="2" t="s">
        <v>62</v>
      </c>
      <c r="AJ26" s="2" t="s">
        <v>62</v>
      </c>
      <c r="AK26" t="s">
        <v>226</v>
      </c>
      <c r="AL26" t="s">
        <v>188</v>
      </c>
      <c r="AM26" t="str">
        <f t="shared" si="7"/>
        <v>Wednesday</v>
      </c>
      <c r="AN26" s="8" t="s">
        <v>62</v>
      </c>
      <c r="AO26" s="31" t="s">
        <v>242</v>
      </c>
      <c r="AP26" s="31" t="s">
        <v>228</v>
      </c>
      <c r="AQ26" t="s">
        <v>63</v>
      </c>
      <c r="AR26" s="11">
        <f t="shared" si="8"/>
        <v>1.0016113871357593</v>
      </c>
    </row>
    <row r="27" spans="1:44" x14ac:dyDescent="0.3">
      <c r="A27" s="8" t="s">
        <v>204</v>
      </c>
      <c r="B27" s="30"/>
      <c r="C27" s="23">
        <v>1</v>
      </c>
      <c r="D27" s="21">
        <v>701</v>
      </c>
      <c r="E27" s="8" t="s">
        <v>42</v>
      </c>
      <c r="F27" t="s">
        <v>220</v>
      </c>
      <c r="G27">
        <v>2</v>
      </c>
      <c r="H27" s="13" t="s">
        <v>47</v>
      </c>
      <c r="I27" s="17">
        <v>46005</v>
      </c>
      <c r="J27" s="2" t="s">
        <v>89</v>
      </c>
      <c r="K27" s="19">
        <f t="shared" ca="1" si="0"/>
        <v>24</v>
      </c>
      <c r="L27" t="s">
        <v>227</v>
      </c>
      <c r="M27" t="s">
        <v>228</v>
      </c>
      <c r="N27" s="2" t="s">
        <v>58</v>
      </c>
      <c r="O27" s="2">
        <v>1</v>
      </c>
      <c r="P27" s="2" t="s">
        <v>59</v>
      </c>
      <c r="Q27" t="s">
        <v>193</v>
      </c>
      <c r="R27" s="11">
        <v>5</v>
      </c>
      <c r="S27" s="2" t="s">
        <v>99</v>
      </c>
      <c r="T27" s="2" t="s">
        <v>63</v>
      </c>
      <c r="U27" s="2" t="s">
        <v>224</v>
      </c>
      <c r="V27" s="2" t="s">
        <v>141</v>
      </c>
      <c r="W27" s="2" t="s">
        <v>142</v>
      </c>
      <c r="X27" t="s">
        <v>229</v>
      </c>
      <c r="Y27" s="2" t="s">
        <v>62</v>
      </c>
      <c r="Z27" s="2">
        <v>12</v>
      </c>
      <c r="AA27" s="2">
        <v>2</v>
      </c>
      <c r="AB27" s="2">
        <v>0</v>
      </c>
      <c r="AC27" s="11">
        <f t="shared" si="1"/>
        <v>14</v>
      </c>
      <c r="AD27" s="20">
        <f t="shared" si="2"/>
        <v>1.9971469329529243E-2</v>
      </c>
      <c r="AE27" s="11">
        <f t="shared" si="3"/>
        <v>19.971469329529242</v>
      </c>
      <c r="AF27" s="11">
        <f t="shared" si="4"/>
        <v>0.28530670470756064</v>
      </c>
      <c r="AG27" s="11">
        <f t="shared" si="5"/>
        <v>0</v>
      </c>
      <c r="AH27" s="11">
        <f t="shared" si="6"/>
        <v>0.16666666666666666</v>
      </c>
      <c r="AI27" s="2" t="s">
        <v>62</v>
      </c>
      <c r="AJ27" s="2" t="s">
        <v>63</v>
      </c>
      <c r="AK27" t="s">
        <v>230</v>
      </c>
      <c r="AL27" t="s">
        <v>231</v>
      </c>
      <c r="AM27" t="str">
        <f t="shared" si="7"/>
        <v>Sunday</v>
      </c>
      <c r="AN27" s="8" t="s">
        <v>62</v>
      </c>
      <c r="AO27" s="31"/>
      <c r="AP27" s="31"/>
      <c r="AQ27" t="s">
        <v>63</v>
      </c>
      <c r="AR27" s="11">
        <f t="shared" si="8"/>
        <v>1.0075198066335438</v>
      </c>
    </row>
    <row r="28" spans="1:44" x14ac:dyDescent="0.3">
      <c r="A28" s="8" t="s">
        <v>204</v>
      </c>
      <c r="B28" s="30"/>
      <c r="C28" s="23">
        <v>1</v>
      </c>
      <c r="D28" s="21">
        <v>701</v>
      </c>
      <c r="E28" s="8" t="s">
        <v>42</v>
      </c>
      <c r="F28" t="s">
        <v>221</v>
      </c>
      <c r="G28">
        <v>3</v>
      </c>
      <c r="H28" s="13" t="s">
        <v>47</v>
      </c>
      <c r="I28" s="17">
        <v>46004</v>
      </c>
      <c r="J28" s="2" t="s">
        <v>89</v>
      </c>
      <c r="K28" s="19">
        <f t="shared" ca="1" si="0"/>
        <v>25</v>
      </c>
      <c r="L28" s="2" t="s">
        <v>90</v>
      </c>
      <c r="M28" t="s">
        <v>236</v>
      </c>
      <c r="N28" s="2" t="s">
        <v>176</v>
      </c>
      <c r="O28" s="2">
        <v>1</v>
      </c>
      <c r="P28" s="2" t="s">
        <v>59</v>
      </c>
      <c r="Q28" t="s">
        <v>232</v>
      </c>
      <c r="R28" s="11">
        <v>7</v>
      </c>
      <c r="S28" s="2" t="s">
        <v>75</v>
      </c>
      <c r="T28" s="2" t="s">
        <v>63</v>
      </c>
      <c r="U28" s="2" t="s">
        <v>224</v>
      </c>
      <c r="V28" s="2" t="s">
        <v>141</v>
      </c>
      <c r="W28" s="2" t="s">
        <v>142</v>
      </c>
      <c r="X28" t="s">
        <v>233</v>
      </c>
      <c r="Y28" s="2" t="s">
        <v>62</v>
      </c>
      <c r="Z28" s="2">
        <v>3</v>
      </c>
      <c r="AA28" s="2">
        <v>2</v>
      </c>
      <c r="AB28" s="2">
        <v>0</v>
      </c>
      <c r="AC28" s="11">
        <f t="shared" si="1"/>
        <v>5</v>
      </c>
      <c r="AD28" s="20">
        <f t="shared" si="2"/>
        <v>7.1326676176890159E-3</v>
      </c>
      <c r="AE28" s="11">
        <f t="shared" si="3"/>
        <v>7.132667617689016</v>
      </c>
      <c r="AF28" s="11">
        <f t="shared" si="4"/>
        <v>0.28530670470756064</v>
      </c>
      <c r="AG28" s="11">
        <f t="shared" si="5"/>
        <v>0</v>
      </c>
      <c r="AH28" s="11">
        <f t="shared" si="6"/>
        <v>0.66666666666666663</v>
      </c>
      <c r="AI28" s="2" t="s">
        <v>62</v>
      </c>
      <c r="AJ28" s="2" t="s">
        <v>63</v>
      </c>
      <c r="AK28" t="s">
        <v>234</v>
      </c>
      <c r="AL28" t="s">
        <v>235</v>
      </c>
      <c r="AM28" t="str">
        <f t="shared" si="7"/>
        <v>Saturday</v>
      </c>
      <c r="AN28" s="8" t="s">
        <v>62</v>
      </c>
      <c r="AO28" s="31"/>
      <c r="AP28" s="31"/>
      <c r="AQ28" t="s">
        <v>63</v>
      </c>
      <c r="AR28" s="11">
        <f t="shared" si="8"/>
        <v>1.0026856452262656</v>
      </c>
    </row>
    <row r="29" spans="1:44" x14ac:dyDescent="0.3">
      <c r="A29" s="8" t="s">
        <v>204</v>
      </c>
      <c r="B29" s="30"/>
      <c r="C29" s="23">
        <v>1</v>
      </c>
      <c r="D29" s="21">
        <v>701</v>
      </c>
      <c r="E29" s="8" t="s">
        <v>42</v>
      </c>
      <c r="F29" t="s">
        <v>222</v>
      </c>
      <c r="G29">
        <v>4</v>
      </c>
      <c r="H29" s="13" t="s">
        <v>47</v>
      </c>
      <c r="I29" s="17">
        <v>46004</v>
      </c>
      <c r="J29" s="2" t="s">
        <v>89</v>
      </c>
      <c r="K29" s="19">
        <f t="shared" ca="1" si="0"/>
        <v>25</v>
      </c>
      <c r="L29" t="s">
        <v>243</v>
      </c>
      <c r="M29" t="s">
        <v>244</v>
      </c>
      <c r="N29" s="2" t="s">
        <v>57</v>
      </c>
      <c r="O29" s="2">
        <v>1</v>
      </c>
      <c r="P29" s="2" t="s">
        <v>59</v>
      </c>
      <c r="Q29" t="s">
        <v>237</v>
      </c>
      <c r="R29" s="11">
        <v>12</v>
      </c>
      <c r="S29" s="2" t="s">
        <v>75</v>
      </c>
      <c r="T29" s="2" t="s">
        <v>63</v>
      </c>
      <c r="U29" s="9" t="s">
        <v>238</v>
      </c>
      <c r="V29" s="2" t="s">
        <v>141</v>
      </c>
      <c r="W29" s="2" t="s">
        <v>142</v>
      </c>
      <c r="X29" t="s">
        <v>239</v>
      </c>
      <c r="Y29" s="2" t="s">
        <v>63</v>
      </c>
      <c r="Z29" s="2">
        <v>3</v>
      </c>
      <c r="AA29" s="2">
        <v>0</v>
      </c>
      <c r="AB29" s="2">
        <v>0</v>
      </c>
      <c r="AC29" s="11">
        <f t="shared" si="1"/>
        <v>3</v>
      </c>
      <c r="AD29" s="20">
        <f t="shared" si="2"/>
        <v>4.2796005706134095E-3</v>
      </c>
      <c r="AE29" s="11">
        <f t="shared" si="3"/>
        <v>4.2796005706134093</v>
      </c>
      <c r="AF29" s="11">
        <f t="shared" si="4"/>
        <v>0</v>
      </c>
      <c r="AG29" s="11">
        <f t="shared" si="5"/>
        <v>0</v>
      </c>
      <c r="AH29" s="11">
        <f t="shared" si="6"/>
        <v>0</v>
      </c>
      <c r="AI29" s="2" t="s">
        <v>59</v>
      </c>
      <c r="AJ29" s="2" t="s">
        <v>62</v>
      </c>
      <c r="AK29" t="s">
        <v>240</v>
      </c>
      <c r="AL29" t="s">
        <v>241</v>
      </c>
      <c r="AM29" t="str">
        <f t="shared" si="7"/>
        <v>Saturday</v>
      </c>
      <c r="AN29" s="8" t="s">
        <v>62</v>
      </c>
      <c r="AO29" s="31"/>
      <c r="AP29" s="31"/>
      <c r="AQ29" t="s">
        <v>63</v>
      </c>
      <c r="AR29" s="11">
        <f t="shared" si="8"/>
        <v>1.0016113871357593</v>
      </c>
    </row>
    <row r="30" spans="1:44" x14ac:dyDescent="0.3">
      <c r="A30" s="8" t="s">
        <v>203</v>
      </c>
      <c r="B30" s="30" t="s">
        <v>207</v>
      </c>
      <c r="C30" s="23">
        <v>50</v>
      </c>
      <c r="D30" s="21">
        <v>342</v>
      </c>
      <c r="E30" s="8" t="s">
        <v>42</v>
      </c>
      <c r="F30" t="s">
        <v>245</v>
      </c>
      <c r="G30">
        <v>1</v>
      </c>
      <c r="H30" s="13" t="s">
        <v>47</v>
      </c>
      <c r="I30" s="17">
        <v>45949</v>
      </c>
      <c r="J30" s="2" t="s">
        <v>48</v>
      </c>
      <c r="K30" s="19">
        <f t="shared" ca="1" si="0"/>
        <v>80</v>
      </c>
      <c r="L30" t="s">
        <v>248</v>
      </c>
      <c r="M30" t="s">
        <v>249</v>
      </c>
      <c r="N30" s="2" t="s">
        <v>58</v>
      </c>
      <c r="O30" s="2">
        <v>3</v>
      </c>
      <c r="P30" s="2" t="s">
        <v>62</v>
      </c>
      <c r="Q30" t="s">
        <v>250</v>
      </c>
      <c r="R30" s="11">
        <v>9</v>
      </c>
      <c r="S30" s="2" t="s">
        <v>99</v>
      </c>
      <c r="T30" s="2" t="s">
        <v>63</v>
      </c>
      <c r="U30" t="s">
        <v>251</v>
      </c>
      <c r="V30" s="2" t="s">
        <v>141</v>
      </c>
      <c r="W30" s="2" t="s">
        <v>69</v>
      </c>
      <c r="X30" t="s">
        <v>252</v>
      </c>
      <c r="Y30" s="2" t="s">
        <v>62</v>
      </c>
      <c r="Z30" s="2">
        <v>15</v>
      </c>
      <c r="AA30" s="2">
        <v>1</v>
      </c>
      <c r="AB30" s="2">
        <v>6</v>
      </c>
      <c r="AC30" s="11">
        <f t="shared" si="1"/>
        <v>22</v>
      </c>
      <c r="AD30" s="20">
        <f t="shared" si="2"/>
        <v>6.4327485380116955E-2</v>
      </c>
      <c r="AE30" s="11">
        <f t="shared" si="3"/>
        <v>64.327485380116954</v>
      </c>
      <c r="AF30" s="11">
        <f t="shared" si="4"/>
        <v>0.29239766081871343</v>
      </c>
      <c r="AG30" s="11">
        <f t="shared" si="5"/>
        <v>1.7543859649122806</v>
      </c>
      <c r="AH30" s="11">
        <f t="shared" si="6"/>
        <v>6.6666666666666666E-2</v>
      </c>
      <c r="AI30" s="2" t="s">
        <v>62</v>
      </c>
      <c r="AJ30" s="2" t="s">
        <v>63</v>
      </c>
      <c r="AK30" t="s">
        <v>209</v>
      </c>
      <c r="AL30" t="s">
        <v>250</v>
      </c>
      <c r="AM30" t="str">
        <f t="shared" si="7"/>
        <v>Sunday</v>
      </c>
      <c r="AN30" s="8" t="s">
        <v>62</v>
      </c>
      <c r="AO30" s="31" t="s">
        <v>269</v>
      </c>
      <c r="AP30" s="31" t="s">
        <v>270</v>
      </c>
      <c r="AQ30" t="s">
        <v>62</v>
      </c>
      <c r="AR30" s="11">
        <f t="shared" si="8"/>
        <v>1.0118168389955686</v>
      </c>
    </row>
    <row r="31" spans="1:44" x14ac:dyDescent="0.3">
      <c r="A31" s="8" t="s">
        <v>203</v>
      </c>
      <c r="B31" s="30"/>
      <c r="C31" s="23">
        <v>50</v>
      </c>
      <c r="D31" s="21">
        <v>342</v>
      </c>
      <c r="E31" s="8" t="s">
        <v>42</v>
      </c>
      <c r="F31" t="s">
        <v>246</v>
      </c>
      <c r="G31">
        <v>2</v>
      </c>
      <c r="H31" s="13" t="s">
        <v>47</v>
      </c>
      <c r="I31" s="17">
        <v>45948</v>
      </c>
      <c r="J31" s="2" t="s">
        <v>48</v>
      </c>
      <c r="K31" s="19">
        <f t="shared" ca="1" si="0"/>
        <v>81</v>
      </c>
      <c r="L31" t="s">
        <v>54</v>
      </c>
      <c r="M31" t="s">
        <v>253</v>
      </c>
      <c r="N31" s="2" t="s">
        <v>58</v>
      </c>
      <c r="O31" s="2">
        <v>1</v>
      </c>
      <c r="P31" s="2" t="s">
        <v>59</v>
      </c>
      <c r="Q31" t="s">
        <v>254</v>
      </c>
      <c r="R31" s="11">
        <v>11</v>
      </c>
      <c r="S31" s="2" t="s">
        <v>61</v>
      </c>
      <c r="T31" s="2" t="s">
        <v>63</v>
      </c>
      <c r="U31" t="s">
        <v>255</v>
      </c>
      <c r="V31" s="2" t="s">
        <v>141</v>
      </c>
      <c r="W31" t="s">
        <v>76</v>
      </c>
      <c r="X31" t="s">
        <v>256</v>
      </c>
      <c r="Y31" s="2" t="s">
        <v>62</v>
      </c>
      <c r="Z31" s="2">
        <v>7</v>
      </c>
      <c r="AA31" s="2">
        <v>0</v>
      </c>
      <c r="AB31" s="2">
        <v>1</v>
      </c>
      <c r="AC31" s="11">
        <f t="shared" si="1"/>
        <v>8</v>
      </c>
      <c r="AD31" s="20">
        <f t="shared" si="2"/>
        <v>2.3391812865497075E-2</v>
      </c>
      <c r="AE31" s="11">
        <f t="shared" si="3"/>
        <v>23.391812865497073</v>
      </c>
      <c r="AF31" s="11">
        <f t="shared" si="4"/>
        <v>0</v>
      </c>
      <c r="AG31" s="11">
        <f t="shared" si="5"/>
        <v>0.29239766081871343</v>
      </c>
      <c r="AH31" s="11">
        <f t="shared" si="6"/>
        <v>0</v>
      </c>
      <c r="AI31" s="2" t="s">
        <v>62</v>
      </c>
      <c r="AJ31" s="2" t="s">
        <v>63</v>
      </c>
      <c r="AK31" t="s">
        <v>257</v>
      </c>
      <c r="AL31" t="s">
        <v>258</v>
      </c>
      <c r="AM31" t="str">
        <f t="shared" si="7"/>
        <v>Saturday</v>
      </c>
      <c r="AN31" s="8" t="s">
        <v>62</v>
      </c>
      <c r="AO31" s="31"/>
      <c r="AP31" s="31"/>
      <c r="AQ31" t="s">
        <v>62</v>
      </c>
      <c r="AR31" s="11">
        <f t="shared" si="8"/>
        <v>1.0042970323620251</v>
      </c>
    </row>
    <row r="32" spans="1:44" x14ac:dyDescent="0.3">
      <c r="A32" s="8" t="s">
        <v>203</v>
      </c>
      <c r="B32" s="30"/>
      <c r="C32" s="23">
        <v>50</v>
      </c>
      <c r="D32" s="21">
        <v>342</v>
      </c>
      <c r="E32" s="8" t="s">
        <v>42</v>
      </c>
      <c r="F32" t="s">
        <v>247</v>
      </c>
      <c r="G32">
        <v>3</v>
      </c>
      <c r="H32" s="13" t="s">
        <v>47</v>
      </c>
      <c r="I32" s="17">
        <v>45947</v>
      </c>
      <c r="J32" s="2" t="s">
        <v>48</v>
      </c>
      <c r="K32" s="19">
        <f t="shared" ca="1" si="0"/>
        <v>82</v>
      </c>
      <c r="L32" t="s">
        <v>259</v>
      </c>
      <c r="M32" t="s">
        <v>260</v>
      </c>
      <c r="N32" s="2" t="s">
        <v>58</v>
      </c>
      <c r="O32" s="2">
        <v>2</v>
      </c>
      <c r="P32" s="2" t="s">
        <v>62</v>
      </c>
      <c r="Q32" t="s">
        <v>254</v>
      </c>
      <c r="R32" s="11">
        <v>9</v>
      </c>
      <c r="S32" s="2" t="s">
        <v>99</v>
      </c>
      <c r="T32" s="2" t="s">
        <v>63</v>
      </c>
      <c r="U32" t="s">
        <v>208</v>
      </c>
      <c r="V32" s="2" t="s">
        <v>141</v>
      </c>
      <c r="W32" t="s">
        <v>76</v>
      </c>
      <c r="X32" t="s">
        <v>261</v>
      </c>
      <c r="Y32" s="2" t="s">
        <v>62</v>
      </c>
      <c r="Z32" s="2">
        <v>4</v>
      </c>
      <c r="AA32" s="2">
        <v>1</v>
      </c>
      <c r="AB32" s="2">
        <v>0</v>
      </c>
      <c r="AC32" s="11">
        <f t="shared" si="1"/>
        <v>5</v>
      </c>
      <c r="AD32" s="20">
        <f t="shared" si="2"/>
        <v>1.4619883040935672E-2</v>
      </c>
      <c r="AE32" s="11">
        <f t="shared" si="3"/>
        <v>14.619883040935672</v>
      </c>
      <c r="AF32" s="11">
        <f t="shared" si="4"/>
        <v>0.29239766081871343</v>
      </c>
      <c r="AG32" s="11">
        <f t="shared" si="5"/>
        <v>0</v>
      </c>
      <c r="AH32" s="11">
        <f t="shared" si="6"/>
        <v>0.25</v>
      </c>
      <c r="AI32" s="2" t="s">
        <v>62</v>
      </c>
      <c r="AJ32" s="2" t="s">
        <v>63</v>
      </c>
      <c r="AK32" t="s">
        <v>262</v>
      </c>
      <c r="AL32" t="s">
        <v>258</v>
      </c>
      <c r="AM32" t="str">
        <f t="shared" si="7"/>
        <v>Friday</v>
      </c>
      <c r="AN32" s="8" t="s">
        <v>62</v>
      </c>
      <c r="AO32" s="31"/>
      <c r="AP32" s="31"/>
      <c r="AQ32" t="s">
        <v>62</v>
      </c>
      <c r="AR32" s="11">
        <f t="shared" si="8"/>
        <v>1.0026856452262656</v>
      </c>
    </row>
    <row r="33" spans="1:44" x14ac:dyDescent="0.3">
      <c r="A33" s="8" t="s">
        <v>203</v>
      </c>
      <c r="B33" s="30"/>
      <c r="C33" s="23">
        <v>50</v>
      </c>
      <c r="D33" s="21">
        <v>342</v>
      </c>
      <c r="E33" s="8" t="s">
        <v>42</v>
      </c>
      <c r="F33" t="s">
        <v>85</v>
      </c>
      <c r="G33">
        <v>4</v>
      </c>
      <c r="H33" s="13" t="s">
        <v>47</v>
      </c>
      <c r="I33" s="17">
        <v>45947</v>
      </c>
      <c r="J33" s="2" t="s">
        <v>48</v>
      </c>
      <c r="K33" s="19">
        <f t="shared" ca="1" si="0"/>
        <v>82</v>
      </c>
      <c r="L33" t="s">
        <v>263</v>
      </c>
      <c r="M33" t="s">
        <v>264</v>
      </c>
      <c r="N33" s="2" t="s">
        <v>58</v>
      </c>
      <c r="O33" s="2">
        <v>1</v>
      </c>
      <c r="P33" s="2" t="s">
        <v>59</v>
      </c>
      <c r="Q33" t="s">
        <v>265</v>
      </c>
      <c r="R33" s="11">
        <v>8</v>
      </c>
      <c r="S33" s="2" t="s">
        <v>61</v>
      </c>
      <c r="T33" s="2" t="s">
        <v>63</v>
      </c>
      <c r="U33" t="s">
        <v>266</v>
      </c>
      <c r="V33" s="2" t="s">
        <v>141</v>
      </c>
      <c r="W33" s="2" t="s">
        <v>69</v>
      </c>
      <c r="X33" t="s">
        <v>267</v>
      </c>
      <c r="Y33" s="2" t="s">
        <v>62</v>
      </c>
      <c r="Z33" s="2">
        <v>179</v>
      </c>
      <c r="AA33" s="2">
        <v>17</v>
      </c>
      <c r="AB33" s="2">
        <v>24</v>
      </c>
      <c r="AC33" s="11">
        <f t="shared" si="1"/>
        <v>220</v>
      </c>
      <c r="AD33" s="20">
        <f t="shared" si="2"/>
        <v>0.64327485380116955</v>
      </c>
      <c r="AE33" s="11">
        <f t="shared" si="3"/>
        <v>643.27485380116957</v>
      </c>
      <c r="AF33" s="11">
        <f t="shared" si="4"/>
        <v>4.9707602339181287</v>
      </c>
      <c r="AG33" s="11">
        <f t="shared" si="5"/>
        <v>7.0175438596491224</v>
      </c>
      <c r="AH33" s="11">
        <f t="shared" si="6"/>
        <v>9.4972067039106142E-2</v>
      </c>
      <c r="AI33" s="2" t="s">
        <v>62</v>
      </c>
      <c r="AJ33" s="2" t="s">
        <v>63</v>
      </c>
      <c r="AK33" t="s">
        <v>268</v>
      </c>
      <c r="AL33" t="s">
        <v>265</v>
      </c>
      <c r="AM33" t="str">
        <f t="shared" si="7"/>
        <v>Friday</v>
      </c>
      <c r="AN33" s="8" t="s">
        <v>62</v>
      </c>
      <c r="AO33" s="31"/>
      <c r="AP33" s="31"/>
      <c r="AQ33" t="s">
        <v>62</v>
      </c>
      <c r="AR33" s="11">
        <f t="shared" si="8"/>
        <v>1.1181683899556869</v>
      </c>
    </row>
    <row r="34" spans="1:44" x14ac:dyDescent="0.3">
      <c r="A34" s="8" t="s">
        <v>205</v>
      </c>
      <c r="B34" s="30" t="s">
        <v>211</v>
      </c>
      <c r="C34" s="23">
        <v>1</v>
      </c>
      <c r="D34" s="21">
        <v>1331</v>
      </c>
      <c r="E34" s="8" t="s">
        <v>42</v>
      </c>
      <c r="F34" t="s">
        <v>278</v>
      </c>
      <c r="G34">
        <v>1</v>
      </c>
      <c r="H34" s="13" t="s">
        <v>47</v>
      </c>
      <c r="I34" s="17">
        <v>45857</v>
      </c>
      <c r="J34" s="2" t="s">
        <v>48</v>
      </c>
      <c r="K34" s="19">
        <f t="shared" ca="1" si="0"/>
        <v>172</v>
      </c>
      <c r="L34" t="s">
        <v>271</v>
      </c>
      <c r="M34" t="s">
        <v>272</v>
      </c>
      <c r="N34" s="2" t="s">
        <v>57</v>
      </c>
      <c r="O34" s="2">
        <v>1</v>
      </c>
      <c r="P34" s="2" t="s">
        <v>59</v>
      </c>
      <c r="Q34" t="s">
        <v>265</v>
      </c>
      <c r="R34" s="11">
        <v>7</v>
      </c>
      <c r="S34" s="2" t="s">
        <v>61</v>
      </c>
      <c r="T34" s="2" t="s">
        <v>63</v>
      </c>
      <c r="U34" t="s">
        <v>273</v>
      </c>
      <c r="V34" s="2" t="s">
        <v>141</v>
      </c>
      <c r="W34" t="s">
        <v>76</v>
      </c>
      <c r="X34" t="s">
        <v>274</v>
      </c>
      <c r="Y34" s="2" t="s">
        <v>62</v>
      </c>
      <c r="Z34" s="2">
        <v>1</v>
      </c>
      <c r="AA34" s="2">
        <v>0</v>
      </c>
      <c r="AB34" s="2">
        <v>0</v>
      </c>
      <c r="AC34" s="11">
        <f t="shared" si="1"/>
        <v>1</v>
      </c>
      <c r="AD34" s="20">
        <f t="shared" si="2"/>
        <v>7.513148009015778E-4</v>
      </c>
      <c r="AE34" s="11">
        <f t="shared" si="3"/>
        <v>0.75131480090157776</v>
      </c>
      <c r="AF34" s="11">
        <f t="shared" si="4"/>
        <v>0</v>
      </c>
      <c r="AG34" s="11">
        <f t="shared" si="5"/>
        <v>0</v>
      </c>
      <c r="AH34" s="11">
        <f t="shared" si="6"/>
        <v>0</v>
      </c>
      <c r="AI34" s="2" t="s">
        <v>62</v>
      </c>
      <c r="AJ34" s="2" t="s">
        <v>63</v>
      </c>
      <c r="AK34" t="s">
        <v>275</v>
      </c>
      <c r="AL34" t="s">
        <v>265</v>
      </c>
      <c r="AM34" t="str">
        <f t="shared" si="7"/>
        <v>Saturday</v>
      </c>
      <c r="AN34" s="8" t="s">
        <v>62</v>
      </c>
      <c r="AO34" s="31" t="s">
        <v>271</v>
      </c>
      <c r="AP34" s="31" t="s">
        <v>276</v>
      </c>
      <c r="AQ34" t="s">
        <v>62</v>
      </c>
      <c r="AR34" s="11">
        <f t="shared" si="8"/>
        <v>1.0005371290452532</v>
      </c>
    </row>
    <row r="35" spans="1:44" x14ac:dyDescent="0.3">
      <c r="A35" s="8" t="s">
        <v>205</v>
      </c>
      <c r="B35" s="30"/>
      <c r="C35" s="23">
        <v>1</v>
      </c>
      <c r="D35" s="21">
        <v>1331</v>
      </c>
      <c r="E35" s="8" t="s">
        <v>42</v>
      </c>
      <c r="F35" t="s">
        <v>85</v>
      </c>
      <c r="G35">
        <v>2</v>
      </c>
      <c r="H35" s="13" t="s">
        <v>47</v>
      </c>
      <c r="I35" s="17">
        <v>45823</v>
      </c>
      <c r="J35" s="2" t="s">
        <v>48</v>
      </c>
      <c r="K35" s="19">
        <f t="shared" ca="1" si="0"/>
        <v>206</v>
      </c>
      <c r="L35" t="s">
        <v>276</v>
      </c>
      <c r="M35" t="s">
        <v>166</v>
      </c>
      <c r="N35" s="2" t="s">
        <v>58</v>
      </c>
      <c r="O35" s="2">
        <v>1</v>
      </c>
      <c r="P35" s="2" t="s">
        <v>59</v>
      </c>
      <c r="Q35" t="s">
        <v>193</v>
      </c>
      <c r="R35" s="11">
        <v>22</v>
      </c>
      <c r="S35" s="2" t="s">
        <v>61</v>
      </c>
      <c r="T35" s="2" t="s">
        <v>63</v>
      </c>
      <c r="U35" t="s">
        <v>273</v>
      </c>
      <c r="V35" s="2" t="s">
        <v>141</v>
      </c>
      <c r="W35" t="s">
        <v>76</v>
      </c>
      <c r="X35" t="s">
        <v>233</v>
      </c>
      <c r="Y35" s="2" t="s">
        <v>63</v>
      </c>
      <c r="Z35" s="2">
        <v>9</v>
      </c>
      <c r="AA35" s="2">
        <v>1</v>
      </c>
      <c r="AB35" s="2">
        <v>0</v>
      </c>
      <c r="AC35" s="11">
        <f t="shared" si="1"/>
        <v>10</v>
      </c>
      <c r="AD35" s="20">
        <f t="shared" si="2"/>
        <v>7.5131480090157776E-3</v>
      </c>
      <c r="AE35" s="11">
        <f t="shared" si="3"/>
        <v>7.5131480090157776</v>
      </c>
      <c r="AF35" s="11">
        <f t="shared" si="4"/>
        <v>7.5131480090157785E-2</v>
      </c>
      <c r="AG35" s="11">
        <f t="shared" si="5"/>
        <v>0</v>
      </c>
      <c r="AH35" s="11">
        <f t="shared" si="6"/>
        <v>0.1111111111111111</v>
      </c>
      <c r="AI35" s="2" t="s">
        <v>63</v>
      </c>
      <c r="AJ35" s="2" t="s">
        <v>62</v>
      </c>
      <c r="AK35" t="s">
        <v>277</v>
      </c>
      <c r="AL35" t="s">
        <v>192</v>
      </c>
      <c r="AM35" t="str">
        <f t="shared" si="7"/>
        <v>Sunday</v>
      </c>
      <c r="AN35" s="8" t="s">
        <v>62</v>
      </c>
      <c r="AO35" s="31"/>
      <c r="AP35" s="31"/>
      <c r="AQ35" t="s">
        <v>62</v>
      </c>
      <c r="AR35" s="11">
        <f t="shared" si="8"/>
        <v>1.0053712904525312</v>
      </c>
    </row>
    <row r="36" spans="1:44" x14ac:dyDescent="0.3">
      <c r="A36" s="8" t="s">
        <v>205</v>
      </c>
      <c r="B36" s="30"/>
      <c r="C36" s="23">
        <v>1</v>
      </c>
      <c r="D36" s="21">
        <v>1331</v>
      </c>
      <c r="E36" s="8" t="s">
        <v>42</v>
      </c>
      <c r="F36" t="s">
        <v>279</v>
      </c>
      <c r="G36">
        <v>3</v>
      </c>
      <c r="H36" s="13" t="s">
        <v>47</v>
      </c>
      <c r="I36" s="17">
        <v>45819</v>
      </c>
      <c r="J36" s="2" t="s">
        <v>48</v>
      </c>
      <c r="K36" s="19">
        <f t="shared" ca="1" si="0"/>
        <v>210</v>
      </c>
      <c r="L36" t="s">
        <v>276</v>
      </c>
      <c r="M36" t="s">
        <v>166</v>
      </c>
      <c r="N36" s="2" t="s">
        <v>58</v>
      </c>
      <c r="O36" s="2">
        <v>1</v>
      </c>
      <c r="P36" s="2" t="s">
        <v>59</v>
      </c>
      <c r="Q36" t="s">
        <v>276</v>
      </c>
      <c r="R36" s="11">
        <v>10</v>
      </c>
      <c r="S36" s="2" t="s">
        <v>99</v>
      </c>
      <c r="T36" s="2" t="s">
        <v>63</v>
      </c>
      <c r="U36" s="2" t="s">
        <v>224</v>
      </c>
      <c r="V36" s="2" t="s">
        <v>141</v>
      </c>
      <c r="W36" s="2" t="s">
        <v>142</v>
      </c>
      <c r="X36" t="s">
        <v>281</v>
      </c>
      <c r="Y36" s="2" t="s">
        <v>62</v>
      </c>
      <c r="Z36" s="2">
        <v>8</v>
      </c>
      <c r="AA36" s="2">
        <v>2</v>
      </c>
      <c r="AB36" s="2">
        <v>0</v>
      </c>
      <c r="AC36" s="11">
        <f t="shared" si="1"/>
        <v>10</v>
      </c>
      <c r="AD36" s="20">
        <f t="shared" si="2"/>
        <v>7.5131480090157776E-3</v>
      </c>
      <c r="AE36" s="11">
        <f t="shared" si="3"/>
        <v>7.5131480090157776</v>
      </c>
      <c r="AF36" s="11">
        <f t="shared" si="4"/>
        <v>0.15026296018031557</v>
      </c>
      <c r="AG36" s="11">
        <f t="shared" si="5"/>
        <v>0</v>
      </c>
      <c r="AH36" s="11">
        <f t="shared" si="6"/>
        <v>0.25</v>
      </c>
      <c r="AI36" s="2" t="s">
        <v>63</v>
      </c>
      <c r="AJ36" s="2" t="s">
        <v>62</v>
      </c>
      <c r="AK36" t="s">
        <v>282</v>
      </c>
      <c r="AL36" t="s">
        <v>192</v>
      </c>
      <c r="AM36" t="str">
        <f t="shared" si="7"/>
        <v>Wednesday</v>
      </c>
      <c r="AN36" s="8" t="s">
        <v>62</v>
      </c>
      <c r="AO36" s="31"/>
      <c r="AP36" s="31"/>
      <c r="AQ36" t="s">
        <v>62</v>
      </c>
      <c r="AR36" s="11">
        <f t="shared" si="8"/>
        <v>1.0053712904525312</v>
      </c>
    </row>
    <row r="37" spans="1:44" x14ac:dyDescent="0.3">
      <c r="A37" s="8" t="s">
        <v>205</v>
      </c>
      <c r="B37" s="30"/>
      <c r="C37" s="23">
        <v>1</v>
      </c>
      <c r="D37" s="21">
        <v>1331</v>
      </c>
      <c r="E37" s="8" t="s">
        <v>42</v>
      </c>
      <c r="F37" t="s">
        <v>280</v>
      </c>
      <c r="G37">
        <v>4</v>
      </c>
      <c r="H37" s="13" t="s">
        <v>47</v>
      </c>
      <c r="I37" s="17">
        <v>45819</v>
      </c>
      <c r="J37" s="2" t="s">
        <v>48</v>
      </c>
      <c r="K37" s="19">
        <f t="shared" ca="1" si="0"/>
        <v>210</v>
      </c>
      <c r="L37" t="s">
        <v>276</v>
      </c>
      <c r="M37" t="s">
        <v>166</v>
      </c>
      <c r="N37" s="2" t="s">
        <v>58</v>
      </c>
      <c r="O37" s="2">
        <v>1</v>
      </c>
      <c r="P37" s="2" t="s">
        <v>59</v>
      </c>
      <c r="Q37" t="s">
        <v>193</v>
      </c>
      <c r="R37" s="11">
        <v>11</v>
      </c>
      <c r="S37" s="2" t="s">
        <v>99</v>
      </c>
      <c r="T37" s="2" t="s">
        <v>63</v>
      </c>
      <c r="U37" t="s">
        <v>78</v>
      </c>
      <c r="V37" s="2" t="s">
        <v>141</v>
      </c>
      <c r="W37" t="s">
        <v>76</v>
      </c>
      <c r="X37" t="s">
        <v>233</v>
      </c>
      <c r="Y37" s="2" t="s">
        <v>63</v>
      </c>
      <c r="Z37" s="2">
        <v>7</v>
      </c>
      <c r="AA37" s="2">
        <v>1</v>
      </c>
      <c r="AB37" s="2">
        <v>0</v>
      </c>
      <c r="AC37" s="11">
        <f t="shared" si="1"/>
        <v>8</v>
      </c>
      <c r="AD37" s="20">
        <f t="shared" si="2"/>
        <v>6.0105184072126224E-3</v>
      </c>
      <c r="AE37" s="11">
        <f t="shared" si="3"/>
        <v>6.0105184072126221</v>
      </c>
      <c r="AF37" s="11">
        <f t="shared" si="4"/>
        <v>7.5131480090157785E-2</v>
      </c>
      <c r="AG37" s="11">
        <f t="shared" si="5"/>
        <v>0</v>
      </c>
      <c r="AH37" s="11">
        <f t="shared" si="6"/>
        <v>0.14285714285714285</v>
      </c>
      <c r="AI37" s="2" t="s">
        <v>62</v>
      </c>
      <c r="AJ37" s="2" t="s">
        <v>62</v>
      </c>
      <c r="AK37" t="s">
        <v>277</v>
      </c>
      <c r="AL37" t="s">
        <v>71</v>
      </c>
      <c r="AM37" t="str">
        <f t="shared" si="7"/>
        <v>Wednesday</v>
      </c>
      <c r="AN37" s="8" t="s">
        <v>62</v>
      </c>
      <c r="AO37" s="31"/>
      <c r="AP37" s="31"/>
      <c r="AQ37" t="s">
        <v>62</v>
      </c>
      <c r="AR37" s="11">
        <f t="shared" si="8"/>
        <v>1.0042970323620251</v>
      </c>
    </row>
    <row r="38" spans="1:44" x14ac:dyDescent="0.3">
      <c r="A38" s="8" t="s">
        <v>206</v>
      </c>
      <c r="B38" s="30" t="s">
        <v>212</v>
      </c>
      <c r="C38" s="23">
        <v>1</v>
      </c>
      <c r="D38" s="21">
        <v>611</v>
      </c>
      <c r="E38" s="8" t="s">
        <v>42</v>
      </c>
      <c r="F38" t="s">
        <v>85</v>
      </c>
      <c r="G38">
        <v>1</v>
      </c>
      <c r="H38" s="13" t="s">
        <v>47</v>
      </c>
      <c r="I38" s="17">
        <v>45980</v>
      </c>
      <c r="J38" s="2" t="s">
        <v>48</v>
      </c>
      <c r="K38" s="19">
        <f t="shared" ca="1" si="0"/>
        <v>49</v>
      </c>
      <c r="L38" s="2" t="s">
        <v>90</v>
      </c>
      <c r="M38" t="s">
        <v>286</v>
      </c>
      <c r="N38" s="2" t="s">
        <v>58</v>
      </c>
      <c r="O38" s="2">
        <v>1</v>
      </c>
      <c r="P38" s="2" t="s">
        <v>59</v>
      </c>
      <c r="Q38" t="s">
        <v>287</v>
      </c>
      <c r="R38" s="11">
        <v>11</v>
      </c>
      <c r="S38" s="2" t="s">
        <v>75</v>
      </c>
      <c r="T38" s="2" t="s">
        <v>63</v>
      </c>
      <c r="U38" t="s">
        <v>288</v>
      </c>
      <c r="V38" s="2" t="s">
        <v>289</v>
      </c>
      <c r="W38" t="s">
        <v>76</v>
      </c>
      <c r="X38" t="s">
        <v>78</v>
      </c>
      <c r="Y38" s="2" t="s">
        <v>62</v>
      </c>
      <c r="Z38" s="2">
        <v>2276</v>
      </c>
      <c r="AA38" s="2">
        <v>97</v>
      </c>
      <c r="AB38" s="2">
        <v>299</v>
      </c>
      <c r="AC38" s="11">
        <f t="shared" si="1"/>
        <v>2672</v>
      </c>
      <c r="AD38" s="20">
        <f t="shared" si="2"/>
        <v>4.3731587561374798</v>
      </c>
      <c r="AE38" s="11">
        <f t="shared" si="3"/>
        <v>4373.1587561374799</v>
      </c>
      <c r="AF38" s="11">
        <f t="shared" si="4"/>
        <v>15.875613747954173</v>
      </c>
      <c r="AG38" s="11">
        <f t="shared" si="5"/>
        <v>48.936170212765958</v>
      </c>
      <c r="AH38" s="11">
        <f t="shared" si="6"/>
        <v>4.2618629173989453E-2</v>
      </c>
      <c r="AI38" s="2" t="s">
        <v>62</v>
      </c>
      <c r="AJ38" s="2" t="s">
        <v>62</v>
      </c>
      <c r="AK38" s="2" t="s">
        <v>90</v>
      </c>
      <c r="AL38" t="s">
        <v>1024</v>
      </c>
      <c r="AM38" t="str">
        <f t="shared" si="7"/>
        <v>Wednesday</v>
      </c>
      <c r="AN38" s="8" t="s">
        <v>62</v>
      </c>
      <c r="AO38" s="31" t="s">
        <v>90</v>
      </c>
      <c r="AP38" s="31" t="s">
        <v>320</v>
      </c>
      <c r="AQ38" t="s">
        <v>62</v>
      </c>
      <c r="AR38" s="11">
        <f t="shared" si="8"/>
        <v>2.4352088089163422</v>
      </c>
    </row>
    <row r="39" spans="1:44" x14ac:dyDescent="0.3">
      <c r="A39" s="8" t="s">
        <v>206</v>
      </c>
      <c r="B39" s="30"/>
      <c r="C39" s="23">
        <v>1</v>
      </c>
      <c r="D39" s="21">
        <v>611</v>
      </c>
      <c r="E39" s="8" t="s">
        <v>42</v>
      </c>
      <c r="F39" t="s">
        <v>283</v>
      </c>
      <c r="G39">
        <v>2</v>
      </c>
      <c r="H39" s="13" t="s">
        <v>47</v>
      </c>
      <c r="I39" s="17">
        <v>45673</v>
      </c>
      <c r="J39" s="2" t="s">
        <v>48</v>
      </c>
      <c r="K39" s="19">
        <f t="shared" ca="1" si="0"/>
        <v>356</v>
      </c>
      <c r="L39" t="s">
        <v>314</v>
      </c>
      <c r="M39" t="s">
        <v>315</v>
      </c>
      <c r="N39" s="2" t="s">
        <v>57</v>
      </c>
      <c r="O39" s="2">
        <v>1</v>
      </c>
      <c r="P39" s="2" t="s">
        <v>59</v>
      </c>
      <c r="Q39" t="s">
        <v>316</v>
      </c>
      <c r="R39" s="11">
        <v>11</v>
      </c>
      <c r="S39" s="2" t="s">
        <v>61</v>
      </c>
      <c r="T39" s="2" t="s">
        <v>63</v>
      </c>
      <c r="U39" t="s">
        <v>317</v>
      </c>
      <c r="V39" s="2" t="s">
        <v>141</v>
      </c>
      <c r="W39" s="2" t="s">
        <v>142</v>
      </c>
      <c r="X39" t="s">
        <v>318</v>
      </c>
      <c r="Y39" s="2" t="s">
        <v>62</v>
      </c>
      <c r="Z39" s="2">
        <v>50</v>
      </c>
      <c r="AA39" s="2">
        <v>37</v>
      </c>
      <c r="AB39" s="2">
        <v>0</v>
      </c>
      <c r="AC39" s="11">
        <f t="shared" si="1"/>
        <v>87</v>
      </c>
      <c r="AD39" s="20">
        <f t="shared" si="2"/>
        <v>0.14238952536824878</v>
      </c>
      <c r="AE39" s="11">
        <f t="shared" si="3"/>
        <v>142.38952536824877</v>
      </c>
      <c r="AF39" s="11">
        <f t="shared" si="4"/>
        <v>6.0556464811783961</v>
      </c>
      <c r="AG39" s="11">
        <f t="shared" si="5"/>
        <v>0</v>
      </c>
      <c r="AH39" s="11">
        <f t="shared" si="6"/>
        <v>0.74</v>
      </c>
      <c r="AI39" s="2" t="s">
        <v>62</v>
      </c>
      <c r="AJ39" s="2" t="s">
        <v>63</v>
      </c>
      <c r="AK39" t="s">
        <v>319</v>
      </c>
      <c r="AL39" t="s">
        <v>71</v>
      </c>
      <c r="AM39" t="str">
        <f t="shared" si="7"/>
        <v>Thursday</v>
      </c>
      <c r="AN39" s="8" t="s">
        <v>62</v>
      </c>
      <c r="AO39" s="31"/>
      <c r="AP39" s="31"/>
      <c r="AQ39" t="s">
        <v>62</v>
      </c>
      <c r="AR39" s="11">
        <f t="shared" si="8"/>
        <v>1.0467302269370216</v>
      </c>
    </row>
    <row r="40" spans="1:44" x14ac:dyDescent="0.3">
      <c r="A40" s="8" t="s">
        <v>206</v>
      </c>
      <c r="B40" s="30"/>
      <c r="C40" s="23">
        <v>1</v>
      </c>
      <c r="D40" s="21">
        <v>611</v>
      </c>
      <c r="E40" s="8" t="s">
        <v>42</v>
      </c>
      <c r="F40" t="s">
        <v>284</v>
      </c>
      <c r="G40">
        <v>3</v>
      </c>
      <c r="H40" s="13" t="s">
        <v>47</v>
      </c>
      <c r="I40" s="17">
        <v>44913</v>
      </c>
      <c r="J40" s="2" t="s">
        <v>48</v>
      </c>
      <c r="K40" s="19">
        <f t="shared" ca="1" si="0"/>
        <v>1116</v>
      </c>
      <c r="L40" t="s">
        <v>320</v>
      </c>
      <c r="M40" t="s">
        <v>321</v>
      </c>
      <c r="N40" s="2" t="s">
        <v>58</v>
      </c>
      <c r="O40" s="2">
        <v>1</v>
      </c>
      <c r="P40" s="2" t="s">
        <v>62</v>
      </c>
      <c r="Q40" t="s">
        <v>254</v>
      </c>
      <c r="R40" s="11">
        <v>6</v>
      </c>
      <c r="S40" s="2" t="s">
        <v>99</v>
      </c>
      <c r="T40" s="2" t="s">
        <v>63</v>
      </c>
      <c r="U40" t="s">
        <v>322</v>
      </c>
      <c r="V40" s="2" t="s">
        <v>289</v>
      </c>
      <c r="W40" s="2" t="s">
        <v>142</v>
      </c>
      <c r="X40" t="s">
        <v>323</v>
      </c>
      <c r="Y40" s="2" t="s">
        <v>62</v>
      </c>
      <c r="Z40" s="2">
        <v>18</v>
      </c>
      <c r="AA40" s="2">
        <v>1</v>
      </c>
      <c r="AB40" s="2">
        <v>0</v>
      </c>
      <c r="AC40" s="11">
        <f t="shared" si="1"/>
        <v>19</v>
      </c>
      <c r="AD40" s="20">
        <f t="shared" si="2"/>
        <v>3.1096563011456628E-2</v>
      </c>
      <c r="AE40" s="11">
        <f t="shared" si="3"/>
        <v>31.096563011456627</v>
      </c>
      <c r="AF40" s="11">
        <f t="shared" si="4"/>
        <v>0.16366612111292964</v>
      </c>
      <c r="AG40" s="11">
        <f t="shared" si="5"/>
        <v>0</v>
      </c>
      <c r="AH40" s="11">
        <f t="shared" si="6"/>
        <v>5.5555555555555552E-2</v>
      </c>
      <c r="AI40" s="2" t="s">
        <v>62</v>
      </c>
      <c r="AJ40" s="2" t="s">
        <v>63</v>
      </c>
      <c r="AK40" t="s">
        <v>324</v>
      </c>
      <c r="AL40" t="s">
        <v>325</v>
      </c>
      <c r="AM40" t="str">
        <f t="shared" si="7"/>
        <v>Sunday</v>
      </c>
      <c r="AN40" s="8" t="s">
        <v>62</v>
      </c>
      <c r="AO40" s="31"/>
      <c r="AP40" s="31"/>
      <c r="AQ40" t="s">
        <v>62</v>
      </c>
      <c r="AR40" s="11">
        <f t="shared" si="8"/>
        <v>1.0102054518598094</v>
      </c>
    </row>
    <row r="41" spans="1:44" x14ac:dyDescent="0.3">
      <c r="A41" s="8" t="s">
        <v>206</v>
      </c>
      <c r="B41" s="30"/>
      <c r="C41" s="23">
        <v>1</v>
      </c>
      <c r="D41" s="21">
        <v>611</v>
      </c>
      <c r="E41" s="8" t="s">
        <v>42</v>
      </c>
      <c r="F41" t="s">
        <v>285</v>
      </c>
      <c r="G41">
        <v>4</v>
      </c>
      <c r="H41" s="13" t="s">
        <v>47</v>
      </c>
      <c r="I41" s="17">
        <v>44540</v>
      </c>
      <c r="J41" s="2" t="s">
        <v>48</v>
      </c>
      <c r="K41" s="19">
        <f t="shared" ca="1" si="0"/>
        <v>1489</v>
      </c>
      <c r="L41" s="2" t="s">
        <v>90</v>
      </c>
      <c r="M41" t="s">
        <v>110</v>
      </c>
      <c r="N41" s="2" t="s">
        <v>57</v>
      </c>
      <c r="O41" s="2">
        <v>1</v>
      </c>
      <c r="P41" s="2" t="s">
        <v>62</v>
      </c>
      <c r="Q41" t="s">
        <v>326</v>
      </c>
      <c r="R41" s="11">
        <v>9</v>
      </c>
      <c r="S41" s="2" t="s">
        <v>99</v>
      </c>
      <c r="T41" s="2" t="s">
        <v>62</v>
      </c>
      <c r="U41" s="2" t="s">
        <v>224</v>
      </c>
      <c r="V41" s="2" t="s">
        <v>173</v>
      </c>
      <c r="W41" s="2" t="s">
        <v>173</v>
      </c>
      <c r="X41" s="2" t="s">
        <v>173</v>
      </c>
      <c r="Y41" s="2" t="s">
        <v>62</v>
      </c>
      <c r="Z41" s="2">
        <v>5</v>
      </c>
      <c r="AA41" s="2">
        <v>1</v>
      </c>
      <c r="AB41" s="2">
        <v>0</v>
      </c>
      <c r="AC41" s="11">
        <f t="shared" si="1"/>
        <v>6</v>
      </c>
      <c r="AD41" s="20">
        <f t="shared" si="2"/>
        <v>9.8199672667757774E-3</v>
      </c>
      <c r="AE41" s="11">
        <f t="shared" si="3"/>
        <v>9.8199672667757767</v>
      </c>
      <c r="AF41" s="11">
        <f t="shared" si="4"/>
        <v>0.16366612111292964</v>
      </c>
      <c r="AG41" s="11">
        <f t="shared" si="5"/>
        <v>0</v>
      </c>
      <c r="AH41" s="11">
        <f t="shared" si="6"/>
        <v>0.2</v>
      </c>
      <c r="AI41" s="2" t="s">
        <v>62</v>
      </c>
      <c r="AJ41" s="2" t="s">
        <v>63</v>
      </c>
      <c r="AK41" t="s">
        <v>327</v>
      </c>
      <c r="AL41" t="s">
        <v>328</v>
      </c>
      <c r="AM41" t="str">
        <f t="shared" si="7"/>
        <v>Friday</v>
      </c>
      <c r="AN41" s="8" t="s">
        <v>62</v>
      </c>
      <c r="AO41" s="31"/>
      <c r="AP41" s="31"/>
      <c r="AQ41" t="s">
        <v>62</v>
      </c>
      <c r="AR41" s="11">
        <f t="shared" si="8"/>
        <v>1.0032227742715187</v>
      </c>
    </row>
    <row r="42" spans="1:44" x14ac:dyDescent="0.3">
      <c r="A42" s="25" t="s">
        <v>213</v>
      </c>
      <c r="B42" s="30" t="s">
        <v>216</v>
      </c>
      <c r="C42" s="23">
        <v>10</v>
      </c>
      <c r="D42" s="21">
        <v>1095</v>
      </c>
      <c r="E42" s="8" t="s">
        <v>42</v>
      </c>
      <c r="F42" t="s">
        <v>290</v>
      </c>
      <c r="G42">
        <v>1</v>
      </c>
      <c r="H42" s="13" t="s">
        <v>47</v>
      </c>
      <c r="I42" s="17">
        <v>46010</v>
      </c>
      <c r="J42" s="2" t="s">
        <v>89</v>
      </c>
      <c r="K42" s="19">
        <f t="shared" ca="1" si="0"/>
        <v>19</v>
      </c>
      <c r="L42" s="2" t="s">
        <v>90</v>
      </c>
      <c r="M42" t="s">
        <v>292</v>
      </c>
      <c r="N42" t="s">
        <v>58</v>
      </c>
      <c r="O42" s="11">
        <v>1</v>
      </c>
      <c r="P42" t="s">
        <v>59</v>
      </c>
      <c r="Q42" t="s">
        <v>293</v>
      </c>
      <c r="R42" s="11">
        <v>13</v>
      </c>
      <c r="S42" s="2" t="s">
        <v>61</v>
      </c>
      <c r="T42" t="s">
        <v>63</v>
      </c>
      <c r="U42" t="s">
        <v>294</v>
      </c>
      <c r="V42" s="2" t="s">
        <v>141</v>
      </c>
      <c r="W42" s="2" t="s">
        <v>142</v>
      </c>
      <c r="X42" t="s">
        <v>190</v>
      </c>
      <c r="Y42" t="s">
        <v>63</v>
      </c>
      <c r="Z42" s="11">
        <v>5</v>
      </c>
      <c r="AA42" s="11">
        <v>2</v>
      </c>
      <c r="AB42" s="11">
        <v>0</v>
      </c>
      <c r="AC42" s="11">
        <f t="shared" si="1"/>
        <v>7</v>
      </c>
      <c r="AD42" s="20">
        <f t="shared" si="2"/>
        <v>6.392694063926941E-3</v>
      </c>
      <c r="AE42" s="11">
        <f t="shared" si="3"/>
        <v>6.3926940639269407</v>
      </c>
      <c r="AF42" s="11">
        <f t="shared" si="4"/>
        <v>0.18264840182648401</v>
      </c>
      <c r="AG42" s="11">
        <f t="shared" si="5"/>
        <v>0</v>
      </c>
      <c r="AH42" s="11">
        <f t="shared" si="6"/>
        <v>0.4</v>
      </c>
      <c r="AI42" t="s">
        <v>62</v>
      </c>
      <c r="AJ42" t="s">
        <v>62</v>
      </c>
      <c r="AK42" t="s">
        <v>295</v>
      </c>
      <c r="AL42" t="s">
        <v>296</v>
      </c>
      <c r="AM42" t="str">
        <f t="shared" si="7"/>
        <v>Friday</v>
      </c>
      <c r="AN42" t="s">
        <v>63</v>
      </c>
      <c r="AO42" s="31" t="s">
        <v>413</v>
      </c>
      <c r="AP42" s="31" t="s">
        <v>303</v>
      </c>
      <c r="AQ42" t="s">
        <v>62</v>
      </c>
      <c r="AR42" s="11">
        <f t="shared" si="8"/>
        <v>1.0037599033167719</v>
      </c>
    </row>
    <row r="43" spans="1:44" x14ac:dyDescent="0.3">
      <c r="A43" s="25" t="s">
        <v>213</v>
      </c>
      <c r="B43" s="30"/>
      <c r="C43" s="23">
        <v>10</v>
      </c>
      <c r="D43" s="21">
        <v>1095</v>
      </c>
      <c r="E43" s="8" t="s">
        <v>42</v>
      </c>
      <c r="F43" t="s">
        <v>283</v>
      </c>
      <c r="G43">
        <v>2</v>
      </c>
      <c r="H43" s="13" t="s">
        <v>47</v>
      </c>
      <c r="I43" s="17">
        <v>46009</v>
      </c>
      <c r="J43" s="2" t="s">
        <v>89</v>
      </c>
      <c r="K43" s="19">
        <f t="shared" ca="1" si="0"/>
        <v>20</v>
      </c>
      <c r="L43" s="2" t="s">
        <v>90</v>
      </c>
      <c r="M43" t="s">
        <v>297</v>
      </c>
      <c r="N43" t="s">
        <v>58</v>
      </c>
      <c r="O43" s="11">
        <v>1</v>
      </c>
      <c r="P43" t="s">
        <v>59</v>
      </c>
      <c r="Q43" t="s">
        <v>298</v>
      </c>
      <c r="R43" s="11">
        <v>7</v>
      </c>
      <c r="S43" s="2" t="s">
        <v>61</v>
      </c>
      <c r="T43" t="s">
        <v>63</v>
      </c>
      <c r="U43" t="s">
        <v>299</v>
      </c>
      <c r="V43" s="2" t="s">
        <v>141</v>
      </c>
      <c r="W43" s="2" t="s">
        <v>142</v>
      </c>
      <c r="X43" t="s">
        <v>300</v>
      </c>
      <c r="Y43" t="s">
        <v>62</v>
      </c>
      <c r="Z43" s="11">
        <v>10</v>
      </c>
      <c r="AA43" s="11">
        <v>3</v>
      </c>
      <c r="AB43" s="11">
        <v>0</v>
      </c>
      <c r="AC43" s="11">
        <f t="shared" si="1"/>
        <v>13</v>
      </c>
      <c r="AD43" s="20">
        <f t="shared" si="2"/>
        <v>1.1872146118721462E-2</v>
      </c>
      <c r="AE43" s="11">
        <f t="shared" si="3"/>
        <v>11.872146118721462</v>
      </c>
      <c r="AF43" s="11">
        <f t="shared" si="4"/>
        <v>0.27397260273972601</v>
      </c>
      <c r="AG43" s="11">
        <f t="shared" si="5"/>
        <v>0</v>
      </c>
      <c r="AH43" s="11">
        <f t="shared" si="6"/>
        <v>0.3</v>
      </c>
      <c r="AI43" t="s">
        <v>62</v>
      </c>
      <c r="AJ43" t="s">
        <v>63</v>
      </c>
      <c r="AK43" t="s">
        <v>301</v>
      </c>
      <c r="AL43" t="s">
        <v>302</v>
      </c>
      <c r="AM43" t="str">
        <f t="shared" si="7"/>
        <v>Thursday</v>
      </c>
      <c r="AN43" t="s">
        <v>63</v>
      </c>
      <c r="AO43" s="31"/>
      <c r="AP43" s="31"/>
      <c r="AQ43" t="s">
        <v>62</v>
      </c>
      <c r="AR43" s="11">
        <f t="shared" si="8"/>
        <v>1.0069826775882906</v>
      </c>
    </row>
    <row r="44" spans="1:44" x14ac:dyDescent="0.3">
      <c r="A44" s="25" t="s">
        <v>213</v>
      </c>
      <c r="B44" s="30"/>
      <c r="C44" s="23">
        <v>10</v>
      </c>
      <c r="D44" s="21">
        <v>1095</v>
      </c>
      <c r="E44" s="8" t="s">
        <v>42</v>
      </c>
      <c r="F44" t="s">
        <v>291</v>
      </c>
      <c r="G44">
        <v>3</v>
      </c>
      <c r="H44" s="13" t="s">
        <v>47</v>
      </c>
      <c r="I44" s="17">
        <v>46008</v>
      </c>
      <c r="J44" s="2" t="s">
        <v>89</v>
      </c>
      <c r="K44" s="19">
        <f t="shared" ca="1" si="0"/>
        <v>21</v>
      </c>
      <c r="L44" s="2" t="s">
        <v>90</v>
      </c>
      <c r="M44" t="s">
        <v>303</v>
      </c>
      <c r="N44" t="s">
        <v>58</v>
      </c>
      <c r="O44" s="11">
        <v>1</v>
      </c>
      <c r="P44" t="s">
        <v>59</v>
      </c>
      <c r="Q44" t="s">
        <v>304</v>
      </c>
      <c r="R44" s="11">
        <v>10</v>
      </c>
      <c r="S44" s="2" t="s">
        <v>61</v>
      </c>
      <c r="T44" t="s">
        <v>63</v>
      </c>
      <c r="U44" t="s">
        <v>305</v>
      </c>
      <c r="V44" t="s">
        <v>141</v>
      </c>
      <c r="W44" s="2" t="s">
        <v>142</v>
      </c>
      <c r="X44" t="s">
        <v>306</v>
      </c>
      <c r="Y44" t="s">
        <v>63</v>
      </c>
      <c r="Z44" s="11">
        <v>3</v>
      </c>
      <c r="AA44" s="11">
        <v>1</v>
      </c>
      <c r="AB44" s="11">
        <v>0</v>
      </c>
      <c r="AC44" s="11">
        <f t="shared" si="1"/>
        <v>4</v>
      </c>
      <c r="AD44" s="20">
        <f t="shared" si="2"/>
        <v>3.6529680365296802E-3</v>
      </c>
      <c r="AE44" s="11">
        <f t="shared" si="3"/>
        <v>3.6529680365296802</v>
      </c>
      <c r="AF44" s="11">
        <f t="shared" si="4"/>
        <v>9.1324200913242004E-2</v>
      </c>
      <c r="AG44" s="11">
        <f t="shared" si="5"/>
        <v>0</v>
      </c>
      <c r="AH44" s="11">
        <f t="shared" si="6"/>
        <v>0.33333333333333331</v>
      </c>
      <c r="AI44" t="s">
        <v>62</v>
      </c>
      <c r="AJ44" t="s">
        <v>63</v>
      </c>
      <c r="AK44" t="s">
        <v>310</v>
      </c>
      <c r="AL44" t="s">
        <v>311</v>
      </c>
      <c r="AM44" t="str">
        <f t="shared" si="7"/>
        <v>Wednesday</v>
      </c>
      <c r="AN44" t="s">
        <v>63</v>
      </c>
      <c r="AO44" s="31"/>
      <c r="AP44" s="31"/>
      <c r="AQ44" t="s">
        <v>62</v>
      </c>
      <c r="AR44" s="11">
        <f t="shared" si="8"/>
        <v>1.0021485161810124</v>
      </c>
    </row>
    <row r="45" spans="1:44" x14ac:dyDescent="0.3">
      <c r="A45" s="25" t="s">
        <v>213</v>
      </c>
      <c r="B45" s="30"/>
      <c r="C45" s="23">
        <v>10</v>
      </c>
      <c r="D45" s="21">
        <v>1095</v>
      </c>
      <c r="E45" s="8" t="s">
        <v>42</v>
      </c>
      <c r="F45" t="s">
        <v>158</v>
      </c>
      <c r="G45">
        <v>4</v>
      </c>
      <c r="H45" s="13" t="s">
        <v>47</v>
      </c>
      <c r="I45" s="17">
        <v>46007</v>
      </c>
      <c r="J45" s="2" t="s">
        <v>89</v>
      </c>
      <c r="K45" s="19">
        <f t="shared" ca="1" si="0"/>
        <v>22</v>
      </c>
      <c r="L45" s="2" t="s">
        <v>90</v>
      </c>
      <c r="M45" t="s">
        <v>307</v>
      </c>
      <c r="N45" t="s">
        <v>58</v>
      </c>
      <c r="O45" s="11">
        <v>1</v>
      </c>
      <c r="P45" t="s">
        <v>59</v>
      </c>
      <c r="Q45" t="s">
        <v>304</v>
      </c>
      <c r="R45" s="11">
        <v>6</v>
      </c>
      <c r="S45" t="s">
        <v>347</v>
      </c>
      <c r="T45" t="s">
        <v>63</v>
      </c>
      <c r="U45" t="s">
        <v>308</v>
      </c>
      <c r="V45" t="s">
        <v>141</v>
      </c>
      <c r="W45" t="s">
        <v>76</v>
      </c>
      <c r="X45" t="s">
        <v>309</v>
      </c>
      <c r="Y45" t="s">
        <v>62</v>
      </c>
      <c r="Z45" s="11">
        <v>5</v>
      </c>
      <c r="AA45" s="11">
        <v>1</v>
      </c>
      <c r="AB45" s="11">
        <v>0</v>
      </c>
      <c r="AC45" s="11">
        <f t="shared" si="1"/>
        <v>6</v>
      </c>
      <c r="AD45" s="20">
        <f t="shared" si="2"/>
        <v>5.4794520547945206E-3</v>
      </c>
      <c r="AE45" s="11">
        <f t="shared" si="3"/>
        <v>5.4794520547945202</v>
      </c>
      <c r="AF45" s="11">
        <f t="shared" si="4"/>
        <v>9.1324200913242004E-2</v>
      </c>
      <c r="AG45" s="11">
        <f t="shared" si="5"/>
        <v>0</v>
      </c>
      <c r="AH45" s="11">
        <f t="shared" si="6"/>
        <v>0.2</v>
      </c>
      <c r="AI45" t="s">
        <v>63</v>
      </c>
      <c r="AJ45" t="s">
        <v>63</v>
      </c>
      <c r="AK45" t="s">
        <v>312</v>
      </c>
      <c r="AL45" t="s">
        <v>313</v>
      </c>
      <c r="AM45" t="str">
        <f t="shared" si="7"/>
        <v>Tuesday</v>
      </c>
      <c r="AN45" t="s">
        <v>63</v>
      </c>
      <c r="AO45" s="31"/>
      <c r="AP45" s="31"/>
      <c r="AQ45" t="s">
        <v>62</v>
      </c>
      <c r="AR45" s="11">
        <f t="shared" si="8"/>
        <v>1.0032227742715187</v>
      </c>
    </row>
    <row r="46" spans="1:44" x14ac:dyDescent="0.3">
      <c r="A46" s="8" t="s">
        <v>214</v>
      </c>
      <c r="B46" s="30" t="s">
        <v>217</v>
      </c>
      <c r="C46" s="23"/>
      <c r="D46" s="21">
        <v>1087</v>
      </c>
      <c r="E46" s="8" t="s">
        <v>42</v>
      </c>
      <c r="F46" t="s">
        <v>285</v>
      </c>
      <c r="G46">
        <v>1</v>
      </c>
      <c r="H46" s="13" t="s">
        <v>47</v>
      </c>
      <c r="I46" s="17">
        <v>46008</v>
      </c>
      <c r="J46" s="2" t="s">
        <v>89</v>
      </c>
      <c r="K46" s="19">
        <f t="shared" ca="1" si="0"/>
        <v>21</v>
      </c>
      <c r="L46" s="2" t="s">
        <v>90</v>
      </c>
      <c r="M46" t="s">
        <v>331</v>
      </c>
      <c r="N46" s="2" t="s">
        <v>57</v>
      </c>
      <c r="O46" s="11">
        <v>1</v>
      </c>
      <c r="P46" s="2" t="s">
        <v>59</v>
      </c>
      <c r="Q46" t="s">
        <v>332</v>
      </c>
      <c r="R46" s="11">
        <v>11</v>
      </c>
      <c r="S46" s="2" t="s">
        <v>75</v>
      </c>
      <c r="T46" t="s">
        <v>63</v>
      </c>
      <c r="U46" t="s">
        <v>273</v>
      </c>
      <c r="V46" t="s">
        <v>141</v>
      </c>
      <c r="W46" t="s">
        <v>76</v>
      </c>
      <c r="X46" t="s">
        <v>333</v>
      </c>
      <c r="Y46" t="s">
        <v>63</v>
      </c>
      <c r="Z46" s="11">
        <v>4</v>
      </c>
      <c r="AA46" s="11">
        <v>0</v>
      </c>
      <c r="AB46" s="11">
        <v>0</v>
      </c>
      <c r="AC46" s="11">
        <f t="shared" si="1"/>
        <v>4</v>
      </c>
      <c r="AD46" s="20">
        <f t="shared" si="2"/>
        <v>3.6798528058877645E-3</v>
      </c>
      <c r="AE46" s="11">
        <f t="shared" si="3"/>
        <v>3.6798528058877644</v>
      </c>
      <c r="AF46" s="11">
        <f t="shared" si="4"/>
        <v>0</v>
      </c>
      <c r="AG46" s="11">
        <f t="shared" si="5"/>
        <v>0</v>
      </c>
      <c r="AH46" s="11">
        <f t="shared" si="6"/>
        <v>0</v>
      </c>
      <c r="AI46" t="s">
        <v>62</v>
      </c>
      <c r="AJ46" t="s">
        <v>63</v>
      </c>
      <c r="AK46" t="s">
        <v>334</v>
      </c>
      <c r="AL46" t="s">
        <v>190</v>
      </c>
      <c r="AM46" t="str">
        <f t="shared" si="7"/>
        <v>Wednesday</v>
      </c>
      <c r="AN46" t="s">
        <v>63</v>
      </c>
      <c r="AO46" s="31" t="s">
        <v>90</v>
      </c>
      <c r="AP46" s="31" t="s">
        <v>335</v>
      </c>
      <c r="AQ46" t="s">
        <v>62</v>
      </c>
      <c r="AR46" s="11">
        <f t="shared" si="8"/>
        <v>1.0021485161810124</v>
      </c>
    </row>
    <row r="47" spans="1:44" x14ac:dyDescent="0.3">
      <c r="A47" s="8" t="s">
        <v>214</v>
      </c>
      <c r="B47" s="30"/>
      <c r="C47" s="23"/>
      <c r="D47" s="21">
        <v>1087</v>
      </c>
      <c r="E47" s="8" t="s">
        <v>42</v>
      </c>
      <c r="F47" t="s">
        <v>283</v>
      </c>
      <c r="G47">
        <v>2</v>
      </c>
      <c r="H47" s="13" t="s">
        <v>47</v>
      </c>
      <c r="I47" s="17">
        <v>45674</v>
      </c>
      <c r="J47" s="2" t="s">
        <v>89</v>
      </c>
      <c r="K47" s="19">
        <f t="shared" ca="1" si="0"/>
        <v>355</v>
      </c>
      <c r="L47" t="s">
        <v>335</v>
      </c>
      <c r="M47" t="s">
        <v>55</v>
      </c>
      <c r="N47" s="2" t="s">
        <v>57</v>
      </c>
      <c r="O47" s="11">
        <v>1</v>
      </c>
      <c r="P47" t="s">
        <v>59</v>
      </c>
      <c r="Q47" t="s">
        <v>336</v>
      </c>
      <c r="R47" s="11">
        <v>20</v>
      </c>
      <c r="S47" s="2" t="s">
        <v>75</v>
      </c>
      <c r="T47" t="s">
        <v>63</v>
      </c>
      <c r="U47" t="s">
        <v>273</v>
      </c>
      <c r="V47" s="2" t="s">
        <v>289</v>
      </c>
      <c r="W47" t="s">
        <v>76</v>
      </c>
      <c r="X47" t="s">
        <v>337</v>
      </c>
      <c r="Y47" t="s">
        <v>62</v>
      </c>
      <c r="Z47" s="11">
        <v>1</v>
      </c>
      <c r="AA47" s="11">
        <v>0</v>
      </c>
      <c r="AB47" s="11">
        <v>0</v>
      </c>
      <c r="AC47" s="11">
        <f t="shared" si="1"/>
        <v>1</v>
      </c>
      <c r="AD47" s="20">
        <f t="shared" si="2"/>
        <v>9.1996320147194111E-4</v>
      </c>
      <c r="AE47" s="11">
        <f t="shared" si="3"/>
        <v>0.91996320147194111</v>
      </c>
      <c r="AF47" s="11">
        <f t="shared" si="4"/>
        <v>0</v>
      </c>
      <c r="AG47" s="11">
        <f t="shared" si="5"/>
        <v>0</v>
      </c>
      <c r="AH47" s="11">
        <f t="shared" si="6"/>
        <v>0</v>
      </c>
      <c r="AI47" t="s">
        <v>62</v>
      </c>
      <c r="AJ47" t="s">
        <v>63</v>
      </c>
      <c r="AK47" t="s">
        <v>338</v>
      </c>
      <c r="AL47" t="s">
        <v>339</v>
      </c>
      <c r="AM47" t="str">
        <f t="shared" si="7"/>
        <v>Friday</v>
      </c>
      <c r="AN47" t="s">
        <v>63</v>
      </c>
      <c r="AO47" s="31"/>
      <c r="AP47" s="31"/>
      <c r="AQ47" t="s">
        <v>62</v>
      </c>
      <c r="AR47" s="11">
        <f t="shared" si="8"/>
        <v>1.0005371290452532</v>
      </c>
    </row>
    <row r="48" spans="1:44" x14ac:dyDescent="0.3">
      <c r="A48" s="8" t="s">
        <v>214</v>
      </c>
      <c r="B48" s="30"/>
      <c r="C48" s="23"/>
      <c r="D48" s="21">
        <v>1087</v>
      </c>
      <c r="E48" s="8" t="s">
        <v>42</v>
      </c>
      <c r="F48" t="s">
        <v>329</v>
      </c>
      <c r="G48">
        <v>3</v>
      </c>
      <c r="H48" s="13" t="s">
        <v>47</v>
      </c>
      <c r="I48" s="17">
        <v>46008</v>
      </c>
      <c r="J48" s="2" t="s">
        <v>89</v>
      </c>
      <c r="K48" s="19">
        <f t="shared" ca="1" si="0"/>
        <v>21</v>
      </c>
      <c r="L48" t="s">
        <v>55</v>
      </c>
      <c r="M48" t="s">
        <v>331</v>
      </c>
      <c r="N48" s="2" t="s">
        <v>57</v>
      </c>
      <c r="O48" s="11">
        <v>1</v>
      </c>
      <c r="P48" t="s">
        <v>59</v>
      </c>
      <c r="Q48" t="s">
        <v>340</v>
      </c>
      <c r="R48" s="11">
        <v>9</v>
      </c>
      <c r="S48" s="2" t="s">
        <v>75</v>
      </c>
      <c r="T48" t="s">
        <v>63</v>
      </c>
      <c r="U48" t="s">
        <v>341</v>
      </c>
      <c r="V48" s="2" t="s">
        <v>289</v>
      </c>
      <c r="W48" t="s">
        <v>76</v>
      </c>
      <c r="X48" t="s">
        <v>342</v>
      </c>
      <c r="Y48" t="s">
        <v>63</v>
      </c>
      <c r="Z48" s="11">
        <v>0</v>
      </c>
      <c r="AA48" s="11">
        <v>0</v>
      </c>
      <c r="AB48" s="11">
        <v>0</v>
      </c>
      <c r="AC48" s="11">
        <f t="shared" si="1"/>
        <v>0</v>
      </c>
      <c r="AD48" s="20">
        <f t="shared" si="2"/>
        <v>0</v>
      </c>
      <c r="AE48" s="11">
        <f t="shared" si="3"/>
        <v>0</v>
      </c>
      <c r="AF48" s="11">
        <f t="shared" si="4"/>
        <v>0</v>
      </c>
      <c r="AG48" s="11">
        <f t="shared" si="5"/>
        <v>0</v>
      </c>
      <c r="AH48" s="11">
        <f t="shared" si="6"/>
        <v>0</v>
      </c>
      <c r="AI48" t="s">
        <v>62</v>
      </c>
      <c r="AJ48" t="s">
        <v>63</v>
      </c>
      <c r="AK48" t="s">
        <v>343</v>
      </c>
      <c r="AL48" t="s">
        <v>344</v>
      </c>
      <c r="AM48" t="str">
        <f t="shared" si="7"/>
        <v>Wednesday</v>
      </c>
      <c r="AN48" t="s">
        <v>63</v>
      </c>
      <c r="AO48" s="31"/>
      <c r="AP48" s="31"/>
      <c r="AQ48" t="s">
        <v>62</v>
      </c>
      <c r="AR48" s="11">
        <f t="shared" si="8"/>
        <v>1</v>
      </c>
    </row>
    <row r="49" spans="1:44" x14ac:dyDescent="0.3">
      <c r="A49" s="8" t="s">
        <v>214</v>
      </c>
      <c r="B49" s="30"/>
      <c r="C49" s="23"/>
      <c r="D49" s="21">
        <v>1087</v>
      </c>
      <c r="E49" s="8" t="s">
        <v>42</v>
      </c>
      <c r="F49" t="s">
        <v>330</v>
      </c>
      <c r="G49">
        <v>4</v>
      </c>
      <c r="H49" s="13" t="s">
        <v>47</v>
      </c>
      <c r="I49" s="17">
        <v>46006</v>
      </c>
      <c r="J49" s="2" t="s">
        <v>89</v>
      </c>
      <c r="K49" s="19">
        <f t="shared" ca="1" si="0"/>
        <v>23</v>
      </c>
      <c r="L49" t="s">
        <v>345</v>
      </c>
      <c r="M49" t="s">
        <v>346</v>
      </c>
      <c r="N49" s="2" t="s">
        <v>57</v>
      </c>
      <c r="O49" s="11">
        <v>1</v>
      </c>
      <c r="P49" t="s">
        <v>59</v>
      </c>
      <c r="Q49" t="s">
        <v>347</v>
      </c>
      <c r="R49" s="11">
        <v>14</v>
      </c>
      <c r="S49" t="s">
        <v>347</v>
      </c>
      <c r="T49" t="s">
        <v>63</v>
      </c>
      <c r="U49" t="s">
        <v>322</v>
      </c>
      <c r="V49" s="2" t="s">
        <v>289</v>
      </c>
      <c r="W49" s="2" t="s">
        <v>142</v>
      </c>
      <c r="X49" t="s">
        <v>348</v>
      </c>
      <c r="Y49" t="s">
        <v>62</v>
      </c>
      <c r="Z49" s="11">
        <v>1</v>
      </c>
      <c r="AA49" s="11">
        <v>0</v>
      </c>
      <c r="AB49" s="11">
        <v>0</v>
      </c>
      <c r="AC49" s="11">
        <f t="shared" si="1"/>
        <v>1</v>
      </c>
      <c r="AD49" s="20">
        <f t="shared" si="2"/>
        <v>9.1996320147194111E-4</v>
      </c>
      <c r="AE49" s="11">
        <f t="shared" si="3"/>
        <v>0.91996320147194111</v>
      </c>
      <c r="AF49" s="11">
        <f t="shared" si="4"/>
        <v>0</v>
      </c>
      <c r="AG49" s="11">
        <f t="shared" si="5"/>
        <v>0</v>
      </c>
      <c r="AH49" s="11">
        <f t="shared" si="6"/>
        <v>0</v>
      </c>
      <c r="AI49" t="s">
        <v>62</v>
      </c>
      <c r="AJ49" t="s">
        <v>63</v>
      </c>
      <c r="AK49" t="s">
        <v>349</v>
      </c>
      <c r="AL49" t="s">
        <v>350</v>
      </c>
      <c r="AM49" t="str">
        <f t="shared" si="7"/>
        <v>Monday</v>
      </c>
      <c r="AN49" t="s">
        <v>63</v>
      </c>
      <c r="AO49" s="31"/>
      <c r="AP49" s="31"/>
      <c r="AQ49" t="s">
        <v>62</v>
      </c>
      <c r="AR49" s="11">
        <f t="shared" si="8"/>
        <v>1.0005371290452532</v>
      </c>
    </row>
    <row r="50" spans="1:44" x14ac:dyDescent="0.3">
      <c r="A50" s="8" t="s">
        <v>215</v>
      </c>
      <c r="B50" s="30" t="s">
        <v>218</v>
      </c>
      <c r="C50" s="23"/>
      <c r="D50" s="21">
        <v>1215</v>
      </c>
      <c r="E50" s="8" t="s">
        <v>42</v>
      </c>
      <c r="F50" t="s">
        <v>351</v>
      </c>
      <c r="G50">
        <v>1</v>
      </c>
      <c r="H50" s="13" t="s">
        <v>47</v>
      </c>
      <c r="I50" s="17">
        <v>46010</v>
      </c>
      <c r="J50" s="2" t="s">
        <v>89</v>
      </c>
      <c r="K50" s="19">
        <f t="shared" ca="1" si="0"/>
        <v>19</v>
      </c>
      <c r="L50" t="s">
        <v>53</v>
      </c>
      <c r="M50" t="s">
        <v>166</v>
      </c>
      <c r="N50" s="2" t="s">
        <v>57</v>
      </c>
      <c r="O50" s="11">
        <v>1</v>
      </c>
      <c r="P50" t="s">
        <v>62</v>
      </c>
      <c r="Q50" t="s">
        <v>361</v>
      </c>
      <c r="R50" s="11">
        <v>11</v>
      </c>
      <c r="S50" t="s">
        <v>99</v>
      </c>
      <c r="T50" t="s">
        <v>63</v>
      </c>
      <c r="U50" t="s">
        <v>273</v>
      </c>
      <c r="V50" s="2" t="s">
        <v>141</v>
      </c>
      <c r="W50" t="s">
        <v>76</v>
      </c>
      <c r="X50" t="s">
        <v>362</v>
      </c>
      <c r="Y50" t="s">
        <v>63</v>
      </c>
      <c r="Z50" s="11">
        <v>7</v>
      </c>
      <c r="AA50" s="11">
        <v>1</v>
      </c>
      <c r="AB50" s="11">
        <v>0</v>
      </c>
      <c r="AC50" s="11">
        <f t="shared" si="1"/>
        <v>8</v>
      </c>
      <c r="AD50" s="20">
        <f t="shared" si="2"/>
        <v>6.5843621399176953E-3</v>
      </c>
      <c r="AE50" s="11">
        <f t="shared" si="3"/>
        <v>6.5843621399176957</v>
      </c>
      <c r="AF50" s="11">
        <f t="shared" si="4"/>
        <v>8.2304526748971193E-2</v>
      </c>
      <c r="AG50" s="11">
        <f t="shared" si="5"/>
        <v>0</v>
      </c>
      <c r="AH50" s="11">
        <f t="shared" si="6"/>
        <v>0.14285714285714285</v>
      </c>
      <c r="AI50" t="s">
        <v>62</v>
      </c>
      <c r="AJ50" t="s">
        <v>63</v>
      </c>
      <c r="AK50" t="s">
        <v>363</v>
      </c>
      <c r="AL50" t="s">
        <v>81</v>
      </c>
      <c r="AM50" t="str">
        <f t="shared" si="7"/>
        <v>Friday</v>
      </c>
      <c r="AN50" t="s">
        <v>63</v>
      </c>
      <c r="AO50" s="31" t="s">
        <v>166</v>
      </c>
      <c r="AP50" s="31" t="s">
        <v>331</v>
      </c>
      <c r="AQ50" t="s">
        <v>62</v>
      </c>
      <c r="AR50" s="11">
        <f t="shared" si="8"/>
        <v>1.0042970323620251</v>
      </c>
    </row>
    <row r="51" spans="1:44" x14ac:dyDescent="0.3">
      <c r="A51" s="8" t="s">
        <v>215</v>
      </c>
      <c r="B51" s="30"/>
      <c r="C51" s="23"/>
      <c r="D51" s="21">
        <v>1215</v>
      </c>
      <c r="E51" s="8" t="s">
        <v>42</v>
      </c>
      <c r="F51" t="s">
        <v>352</v>
      </c>
      <c r="G51">
        <v>2</v>
      </c>
      <c r="H51" s="13" t="s">
        <v>47</v>
      </c>
      <c r="I51" s="17">
        <v>46009</v>
      </c>
      <c r="J51" s="2" t="s">
        <v>89</v>
      </c>
      <c r="K51" s="19">
        <f t="shared" ca="1" si="0"/>
        <v>20</v>
      </c>
      <c r="L51" t="s">
        <v>53</v>
      </c>
      <c r="M51" t="s">
        <v>331</v>
      </c>
      <c r="N51" s="2" t="s">
        <v>58</v>
      </c>
      <c r="O51" s="11">
        <v>1</v>
      </c>
      <c r="P51" t="s">
        <v>62</v>
      </c>
      <c r="Q51" t="s">
        <v>360</v>
      </c>
      <c r="R51" s="11">
        <v>7</v>
      </c>
      <c r="S51" t="s">
        <v>99</v>
      </c>
      <c r="T51" t="s">
        <v>63</v>
      </c>
      <c r="U51" t="s">
        <v>273</v>
      </c>
      <c r="V51" s="2" t="s">
        <v>141</v>
      </c>
      <c r="W51" s="2" t="s">
        <v>142</v>
      </c>
      <c r="X51" t="s">
        <v>190</v>
      </c>
      <c r="Y51" t="s">
        <v>63</v>
      </c>
      <c r="Z51" s="11">
        <v>5</v>
      </c>
      <c r="AA51" s="11">
        <v>0</v>
      </c>
      <c r="AB51" s="11">
        <v>0</v>
      </c>
      <c r="AC51" s="11">
        <f t="shared" si="1"/>
        <v>5</v>
      </c>
      <c r="AD51" s="20">
        <f t="shared" si="2"/>
        <v>4.11522633744856E-3</v>
      </c>
      <c r="AE51" s="11">
        <f t="shared" si="3"/>
        <v>4.1152263374485596</v>
      </c>
      <c r="AF51" s="11">
        <f t="shared" si="4"/>
        <v>0</v>
      </c>
      <c r="AG51" s="11">
        <f t="shared" si="5"/>
        <v>0</v>
      </c>
      <c r="AH51" s="11">
        <f t="shared" si="6"/>
        <v>0</v>
      </c>
      <c r="AI51" t="s">
        <v>63</v>
      </c>
      <c r="AJ51" t="s">
        <v>63</v>
      </c>
      <c r="AK51" t="s">
        <v>80</v>
      </c>
      <c r="AL51" t="s">
        <v>81</v>
      </c>
      <c r="AM51" t="str">
        <f t="shared" si="7"/>
        <v>Thursday</v>
      </c>
      <c r="AN51" t="s">
        <v>63</v>
      </c>
      <c r="AO51" s="31"/>
      <c r="AP51" s="31"/>
      <c r="AQ51" t="s">
        <v>62</v>
      </c>
      <c r="AR51" s="11">
        <f t="shared" si="8"/>
        <v>1.0026856452262656</v>
      </c>
    </row>
    <row r="52" spans="1:44" x14ac:dyDescent="0.3">
      <c r="A52" s="8" t="s">
        <v>215</v>
      </c>
      <c r="B52" s="30"/>
      <c r="C52" s="23"/>
      <c r="D52" s="21">
        <v>1215</v>
      </c>
      <c r="E52" s="8" t="s">
        <v>42</v>
      </c>
      <c r="F52" t="s">
        <v>353</v>
      </c>
      <c r="G52">
        <v>3</v>
      </c>
      <c r="H52" s="13" t="s">
        <v>47</v>
      </c>
      <c r="I52" s="17">
        <v>46009</v>
      </c>
      <c r="J52" s="2" t="s">
        <v>89</v>
      </c>
      <c r="K52" s="19">
        <f t="shared" ca="1" si="0"/>
        <v>20</v>
      </c>
      <c r="L52" t="s">
        <v>56</v>
      </c>
      <c r="M52" t="s">
        <v>359</v>
      </c>
      <c r="N52" s="2" t="s">
        <v>58</v>
      </c>
      <c r="O52" s="11">
        <v>1</v>
      </c>
      <c r="P52" t="s">
        <v>59</v>
      </c>
      <c r="Q52" t="s">
        <v>340</v>
      </c>
      <c r="R52" s="11">
        <v>7</v>
      </c>
      <c r="S52" t="s">
        <v>75</v>
      </c>
      <c r="T52" t="s">
        <v>63</v>
      </c>
      <c r="U52" t="s">
        <v>358</v>
      </c>
      <c r="V52" s="2" t="s">
        <v>141</v>
      </c>
      <c r="W52" t="s">
        <v>76</v>
      </c>
      <c r="X52" t="s">
        <v>78</v>
      </c>
      <c r="Y52" t="s">
        <v>63</v>
      </c>
      <c r="Z52" s="11">
        <v>5</v>
      </c>
      <c r="AA52" s="11">
        <v>2</v>
      </c>
      <c r="AB52" s="11">
        <v>0</v>
      </c>
      <c r="AC52" s="11">
        <f t="shared" si="1"/>
        <v>7</v>
      </c>
      <c r="AD52" s="20">
        <f t="shared" si="2"/>
        <v>5.7613168724279839E-3</v>
      </c>
      <c r="AE52" s="11">
        <f t="shared" si="3"/>
        <v>5.761316872427984</v>
      </c>
      <c r="AF52" s="11">
        <f t="shared" si="4"/>
        <v>0.16460905349794239</v>
      </c>
      <c r="AG52" s="11">
        <f t="shared" si="5"/>
        <v>0</v>
      </c>
      <c r="AH52" s="11">
        <f t="shared" si="6"/>
        <v>0.4</v>
      </c>
      <c r="AI52" t="s">
        <v>63</v>
      </c>
      <c r="AJ52" t="s">
        <v>62</v>
      </c>
      <c r="AK52" t="s">
        <v>190</v>
      </c>
      <c r="AL52" t="s">
        <v>81</v>
      </c>
      <c r="AM52" t="str">
        <f t="shared" si="7"/>
        <v>Thursday</v>
      </c>
      <c r="AN52" t="s">
        <v>63</v>
      </c>
      <c r="AO52" s="31"/>
      <c r="AP52" s="31"/>
      <c r="AQ52" t="s">
        <v>62</v>
      </c>
      <c r="AR52" s="11">
        <f t="shared" si="8"/>
        <v>1.0037599033167719</v>
      </c>
    </row>
    <row r="53" spans="1:44" x14ac:dyDescent="0.3">
      <c r="A53" s="8" t="s">
        <v>215</v>
      </c>
      <c r="B53" s="30"/>
      <c r="C53" s="23"/>
      <c r="D53" s="21">
        <v>1215</v>
      </c>
      <c r="E53" s="8" t="s">
        <v>42</v>
      </c>
      <c r="F53" t="s">
        <v>354</v>
      </c>
      <c r="G53">
        <v>4</v>
      </c>
      <c r="H53" s="13" t="s">
        <v>47</v>
      </c>
      <c r="I53" s="17">
        <v>46006</v>
      </c>
      <c r="J53" s="2" t="s">
        <v>89</v>
      </c>
      <c r="K53" s="19">
        <f t="shared" ca="1" si="0"/>
        <v>23</v>
      </c>
      <c r="L53" t="s">
        <v>53</v>
      </c>
      <c r="M53" t="s">
        <v>331</v>
      </c>
      <c r="N53" s="2" t="s">
        <v>58</v>
      </c>
      <c r="O53" s="11">
        <v>1</v>
      </c>
      <c r="P53" t="s">
        <v>62</v>
      </c>
      <c r="Q53" t="s">
        <v>355</v>
      </c>
      <c r="R53" s="11">
        <v>7</v>
      </c>
      <c r="S53" t="s">
        <v>99</v>
      </c>
      <c r="T53" t="s">
        <v>63</v>
      </c>
      <c r="U53" t="s">
        <v>273</v>
      </c>
      <c r="V53" t="s">
        <v>141</v>
      </c>
      <c r="W53" s="2" t="s">
        <v>142</v>
      </c>
      <c r="X53" t="s">
        <v>356</v>
      </c>
      <c r="Y53" t="s">
        <v>63</v>
      </c>
      <c r="Z53" s="11">
        <v>1</v>
      </c>
      <c r="AA53" s="11">
        <v>0</v>
      </c>
      <c r="AB53" s="11">
        <v>0</v>
      </c>
      <c r="AC53" s="11">
        <f t="shared" si="1"/>
        <v>1</v>
      </c>
      <c r="AD53" s="20">
        <f t="shared" si="2"/>
        <v>8.2304526748971192E-4</v>
      </c>
      <c r="AE53" s="11">
        <f t="shared" si="3"/>
        <v>0.82304526748971196</v>
      </c>
      <c r="AF53" s="11">
        <f t="shared" si="4"/>
        <v>0</v>
      </c>
      <c r="AG53" s="11">
        <f t="shared" si="5"/>
        <v>0</v>
      </c>
      <c r="AH53" s="11">
        <f t="shared" si="6"/>
        <v>0</v>
      </c>
      <c r="AI53" t="s">
        <v>63</v>
      </c>
      <c r="AJ53" t="s">
        <v>63</v>
      </c>
      <c r="AK53" t="s">
        <v>357</v>
      </c>
      <c r="AL53" t="s">
        <v>81</v>
      </c>
      <c r="AM53" t="str">
        <f t="shared" si="7"/>
        <v>Monday</v>
      </c>
      <c r="AN53" t="s">
        <v>63</v>
      </c>
      <c r="AO53" s="31"/>
      <c r="AP53" s="31"/>
      <c r="AQ53" t="s">
        <v>62</v>
      </c>
      <c r="AR53" s="11">
        <f t="shared" si="8"/>
        <v>1.0005371290452532</v>
      </c>
    </row>
    <row r="54" spans="1:44" ht="14.4" customHeight="1" x14ac:dyDescent="0.3">
      <c r="A54" s="8" t="s">
        <v>1025</v>
      </c>
      <c r="B54" s="30" t="s">
        <v>364</v>
      </c>
      <c r="C54" s="23">
        <v>10</v>
      </c>
      <c r="D54" s="21">
        <v>5275</v>
      </c>
      <c r="E54" s="8" t="s">
        <v>42</v>
      </c>
      <c r="F54" t="s">
        <v>365</v>
      </c>
      <c r="G54">
        <v>1</v>
      </c>
      <c r="H54" s="13" t="s">
        <v>47</v>
      </c>
      <c r="I54" s="17">
        <v>46010</v>
      </c>
      <c r="J54" s="2" t="s">
        <v>89</v>
      </c>
      <c r="K54" s="19">
        <f t="shared" ca="1" si="0"/>
        <v>19</v>
      </c>
      <c r="L54" t="s">
        <v>53</v>
      </c>
      <c r="M54" t="s">
        <v>307</v>
      </c>
      <c r="N54" s="2" t="s">
        <v>58</v>
      </c>
      <c r="O54" s="11">
        <v>1</v>
      </c>
      <c r="P54" t="s">
        <v>59</v>
      </c>
      <c r="Q54" t="s">
        <v>379</v>
      </c>
      <c r="R54" s="11">
        <v>7</v>
      </c>
      <c r="S54" s="2" t="s">
        <v>75</v>
      </c>
      <c r="T54" t="s">
        <v>63</v>
      </c>
      <c r="U54" t="s">
        <v>378</v>
      </c>
      <c r="V54" t="s">
        <v>141</v>
      </c>
      <c r="W54" t="s">
        <v>76</v>
      </c>
      <c r="X54" t="s">
        <v>377</v>
      </c>
      <c r="Y54" t="s">
        <v>63</v>
      </c>
      <c r="Z54" s="11">
        <v>6</v>
      </c>
      <c r="AA54" s="11">
        <v>4</v>
      </c>
      <c r="AB54" s="11">
        <v>0</v>
      </c>
      <c r="AC54" s="11">
        <f t="shared" si="1"/>
        <v>10</v>
      </c>
      <c r="AD54" s="20">
        <f t="shared" si="2"/>
        <v>1.8957345971563982E-3</v>
      </c>
      <c r="AE54" s="11">
        <f t="shared" si="3"/>
        <v>1.8957345971563981</v>
      </c>
      <c r="AF54" s="11">
        <f t="shared" si="4"/>
        <v>7.5829383886255916E-2</v>
      </c>
      <c r="AG54" s="11">
        <f t="shared" si="5"/>
        <v>0</v>
      </c>
      <c r="AH54" s="11">
        <f t="shared" si="6"/>
        <v>0.66666666666666663</v>
      </c>
      <c r="AI54" t="s">
        <v>62</v>
      </c>
      <c r="AJ54" t="s">
        <v>62</v>
      </c>
      <c r="AK54" t="s">
        <v>376</v>
      </c>
      <c r="AL54" t="s">
        <v>375</v>
      </c>
      <c r="AM54" t="str">
        <f t="shared" si="7"/>
        <v>Friday</v>
      </c>
      <c r="AN54" t="s">
        <v>63</v>
      </c>
      <c r="AO54" s="31" t="s">
        <v>53</v>
      </c>
      <c r="AP54" s="31" t="s">
        <v>386</v>
      </c>
      <c r="AQ54" t="s">
        <v>62</v>
      </c>
      <c r="AR54" s="11">
        <f t="shared" si="8"/>
        <v>1.0053712904525312</v>
      </c>
    </row>
    <row r="55" spans="1:44" x14ac:dyDescent="0.3">
      <c r="A55" s="8" t="s">
        <v>1025</v>
      </c>
      <c r="B55" s="30"/>
      <c r="C55" s="23">
        <v>10</v>
      </c>
      <c r="D55" s="21">
        <v>5275</v>
      </c>
      <c r="E55" s="8" t="s">
        <v>42</v>
      </c>
      <c r="F55" t="s">
        <v>366</v>
      </c>
      <c r="G55">
        <v>2</v>
      </c>
      <c r="H55" s="13" t="s">
        <v>47</v>
      </c>
      <c r="I55" s="17">
        <v>46009</v>
      </c>
      <c r="J55" s="2" t="s">
        <v>89</v>
      </c>
      <c r="K55" s="19">
        <f t="shared" ca="1" si="0"/>
        <v>20</v>
      </c>
      <c r="L55" t="s">
        <v>384</v>
      </c>
      <c r="M55" t="s">
        <v>385</v>
      </c>
      <c r="N55" s="2" t="s">
        <v>58</v>
      </c>
      <c r="O55" s="11">
        <v>1</v>
      </c>
      <c r="P55" t="s">
        <v>59</v>
      </c>
      <c r="Q55" t="s">
        <v>380</v>
      </c>
      <c r="R55" s="11">
        <v>17</v>
      </c>
      <c r="S55" t="s">
        <v>99</v>
      </c>
      <c r="T55" t="s">
        <v>62</v>
      </c>
      <c r="U55" t="s">
        <v>173</v>
      </c>
      <c r="V55" s="2" t="s">
        <v>173</v>
      </c>
      <c r="W55" s="2" t="s">
        <v>142</v>
      </c>
      <c r="X55" t="s">
        <v>381</v>
      </c>
      <c r="Y55" t="s">
        <v>62</v>
      </c>
      <c r="Z55" s="11">
        <v>6</v>
      </c>
      <c r="AA55" s="11">
        <v>4</v>
      </c>
      <c r="AB55" s="11">
        <v>0</v>
      </c>
      <c r="AC55" s="11">
        <f t="shared" si="1"/>
        <v>10</v>
      </c>
      <c r="AD55" s="20">
        <f t="shared" si="2"/>
        <v>1.8957345971563982E-3</v>
      </c>
      <c r="AE55" s="11">
        <f t="shared" si="3"/>
        <v>1.8957345971563981</v>
      </c>
      <c r="AF55" s="11">
        <f t="shared" si="4"/>
        <v>7.5829383886255916E-2</v>
      </c>
      <c r="AG55" s="11">
        <f t="shared" si="5"/>
        <v>0</v>
      </c>
      <c r="AH55" s="11">
        <f t="shared" si="6"/>
        <v>0.66666666666666663</v>
      </c>
      <c r="AI55" t="s">
        <v>63</v>
      </c>
      <c r="AJ55" t="s">
        <v>62</v>
      </c>
      <c r="AK55" t="s">
        <v>382</v>
      </c>
      <c r="AL55" t="s">
        <v>383</v>
      </c>
      <c r="AM55" t="str">
        <f t="shared" si="7"/>
        <v>Thursday</v>
      </c>
      <c r="AN55" t="s">
        <v>63</v>
      </c>
      <c r="AO55" s="31"/>
      <c r="AP55" s="31"/>
      <c r="AQ55" t="s">
        <v>62</v>
      </c>
      <c r="AR55" s="11">
        <f t="shared" si="8"/>
        <v>1.0053712904525312</v>
      </c>
    </row>
    <row r="56" spans="1:44" x14ac:dyDescent="0.3">
      <c r="A56" s="8" t="s">
        <v>1025</v>
      </c>
      <c r="B56" s="30"/>
      <c r="C56" s="23">
        <v>10</v>
      </c>
      <c r="D56" s="21">
        <v>5275</v>
      </c>
      <c r="E56" s="8" t="s">
        <v>42</v>
      </c>
      <c r="F56" t="s">
        <v>367</v>
      </c>
      <c r="G56">
        <v>3</v>
      </c>
      <c r="H56" s="13" t="s">
        <v>47</v>
      </c>
      <c r="I56" s="17">
        <v>46008</v>
      </c>
      <c r="J56" s="2" t="s">
        <v>89</v>
      </c>
      <c r="K56" s="19">
        <f t="shared" ca="1" si="0"/>
        <v>21</v>
      </c>
      <c r="L56" t="s">
        <v>386</v>
      </c>
      <c r="M56" t="s">
        <v>387</v>
      </c>
      <c r="N56" s="2" t="s">
        <v>58</v>
      </c>
      <c r="O56" s="11">
        <v>1</v>
      </c>
      <c r="P56" t="s">
        <v>59</v>
      </c>
      <c r="Q56" t="s">
        <v>388</v>
      </c>
      <c r="R56" s="11">
        <v>16</v>
      </c>
      <c r="S56" s="2" t="s">
        <v>61</v>
      </c>
      <c r="T56" t="s">
        <v>63</v>
      </c>
      <c r="U56" t="s">
        <v>389</v>
      </c>
      <c r="V56" s="2" t="s">
        <v>289</v>
      </c>
      <c r="W56" t="s">
        <v>69</v>
      </c>
      <c r="X56" t="s">
        <v>390</v>
      </c>
      <c r="Y56" t="s">
        <v>63</v>
      </c>
      <c r="Z56" s="11">
        <v>2</v>
      </c>
      <c r="AA56" s="11">
        <v>1</v>
      </c>
      <c r="AB56" s="11">
        <v>0</v>
      </c>
      <c r="AC56" s="11">
        <f t="shared" si="1"/>
        <v>3</v>
      </c>
      <c r="AD56" s="20">
        <f t="shared" si="2"/>
        <v>5.6872037914691947E-4</v>
      </c>
      <c r="AE56" s="11">
        <f t="shared" si="3"/>
        <v>0.56872037914691942</v>
      </c>
      <c r="AF56" s="11">
        <f t="shared" si="4"/>
        <v>1.8957345971563979E-2</v>
      </c>
      <c r="AG56" s="11">
        <f t="shared" si="5"/>
        <v>0</v>
      </c>
      <c r="AH56" s="11">
        <f t="shared" si="6"/>
        <v>0.5</v>
      </c>
      <c r="AI56" t="s">
        <v>62</v>
      </c>
      <c r="AJ56" t="s">
        <v>62</v>
      </c>
      <c r="AK56" t="s">
        <v>387</v>
      </c>
      <c r="AL56" t="s">
        <v>391</v>
      </c>
      <c r="AM56" t="str">
        <f t="shared" si="7"/>
        <v>Wednesday</v>
      </c>
      <c r="AN56" t="s">
        <v>63</v>
      </c>
      <c r="AO56" s="31"/>
      <c r="AP56" s="31"/>
      <c r="AQ56" t="s">
        <v>62</v>
      </c>
      <c r="AR56" s="11">
        <f t="shared" si="8"/>
        <v>1.0016113871357593</v>
      </c>
    </row>
    <row r="57" spans="1:44" x14ac:dyDescent="0.3">
      <c r="A57" s="8" t="s">
        <v>1025</v>
      </c>
      <c r="B57" s="30"/>
      <c r="C57" s="23">
        <v>10</v>
      </c>
      <c r="D57" s="21">
        <v>5275</v>
      </c>
      <c r="E57" s="8" t="s">
        <v>42</v>
      </c>
      <c r="F57" t="s">
        <v>368</v>
      </c>
      <c r="G57">
        <v>4</v>
      </c>
      <c r="H57" s="13" t="s">
        <v>47</v>
      </c>
      <c r="I57" s="17">
        <v>45889</v>
      </c>
      <c r="J57" s="2" t="s">
        <v>89</v>
      </c>
      <c r="K57" s="19">
        <f t="shared" ca="1" si="0"/>
        <v>140</v>
      </c>
      <c r="L57" t="s">
        <v>369</v>
      </c>
      <c r="M57" t="s">
        <v>370</v>
      </c>
      <c r="N57" t="s">
        <v>58</v>
      </c>
      <c r="O57" s="11">
        <v>1</v>
      </c>
      <c r="P57" t="s">
        <v>59</v>
      </c>
      <c r="Q57" t="s">
        <v>371</v>
      </c>
      <c r="R57" s="11">
        <v>17</v>
      </c>
      <c r="S57" s="2" t="s">
        <v>61</v>
      </c>
      <c r="T57" t="s">
        <v>62</v>
      </c>
      <c r="U57" t="s">
        <v>173</v>
      </c>
      <c r="V57" t="s">
        <v>173</v>
      </c>
      <c r="W57" s="2" t="s">
        <v>142</v>
      </c>
      <c r="X57" t="s">
        <v>372</v>
      </c>
      <c r="Y57" t="s">
        <v>62</v>
      </c>
      <c r="Z57" s="11">
        <v>76</v>
      </c>
      <c r="AA57" s="11">
        <v>63</v>
      </c>
      <c r="AB57" s="11">
        <v>0</v>
      </c>
      <c r="AC57" s="11">
        <f t="shared" si="1"/>
        <v>139</v>
      </c>
      <c r="AD57" s="20">
        <f t="shared" si="2"/>
        <v>2.6350710900473934E-2</v>
      </c>
      <c r="AE57" s="11">
        <f t="shared" si="3"/>
        <v>26.350710900473935</v>
      </c>
      <c r="AF57" s="11">
        <f t="shared" si="4"/>
        <v>1.1943127962085309</v>
      </c>
      <c r="AG57" s="11">
        <f t="shared" si="5"/>
        <v>0</v>
      </c>
      <c r="AH57" s="11">
        <f t="shared" si="6"/>
        <v>0.82894736842105265</v>
      </c>
      <c r="AI57" t="s">
        <v>63</v>
      </c>
      <c r="AJ57" t="s">
        <v>63</v>
      </c>
      <c r="AK57" t="s">
        <v>373</v>
      </c>
      <c r="AL57" t="s">
        <v>374</v>
      </c>
      <c r="AM57" t="str">
        <f t="shared" si="7"/>
        <v>Wednesday</v>
      </c>
      <c r="AN57" t="s">
        <v>63</v>
      </c>
      <c r="AO57" s="31"/>
      <c r="AP57" s="31"/>
      <c r="AQ57" t="s">
        <v>62</v>
      </c>
      <c r="AR57" s="11">
        <f t="shared" si="8"/>
        <v>1.0746609372901839</v>
      </c>
    </row>
    <row r="58" spans="1:44" x14ac:dyDescent="0.3">
      <c r="A58" s="8" t="s">
        <v>392</v>
      </c>
      <c r="B58" s="30" t="s">
        <v>393</v>
      </c>
      <c r="C58" s="23">
        <v>1</v>
      </c>
      <c r="D58" s="21">
        <v>409</v>
      </c>
      <c r="E58" s="8" t="s">
        <v>42</v>
      </c>
      <c r="F58" t="s">
        <v>394</v>
      </c>
      <c r="G58">
        <v>1</v>
      </c>
      <c r="H58" s="13" t="s">
        <v>47</v>
      </c>
      <c r="I58" s="17">
        <v>45815</v>
      </c>
      <c r="J58" s="2" t="s">
        <v>48</v>
      </c>
      <c r="K58" s="19">
        <f t="shared" ca="1" si="0"/>
        <v>214</v>
      </c>
      <c r="L58" t="s">
        <v>162</v>
      </c>
      <c r="M58" t="s">
        <v>81</v>
      </c>
      <c r="N58" s="2" t="s">
        <v>57</v>
      </c>
      <c r="O58" s="11">
        <v>1</v>
      </c>
      <c r="P58" t="s">
        <v>59</v>
      </c>
      <c r="Q58" t="s">
        <v>398</v>
      </c>
      <c r="R58" s="11">
        <v>20</v>
      </c>
      <c r="S58" s="2" t="s">
        <v>61</v>
      </c>
      <c r="T58" t="s">
        <v>63</v>
      </c>
      <c r="U58" t="s">
        <v>399</v>
      </c>
      <c r="V58" t="s">
        <v>141</v>
      </c>
      <c r="W58" t="s">
        <v>76</v>
      </c>
      <c r="X58" t="s">
        <v>78</v>
      </c>
      <c r="Y58" t="s">
        <v>62</v>
      </c>
      <c r="Z58" s="11">
        <v>8</v>
      </c>
      <c r="AA58" s="11">
        <v>2</v>
      </c>
      <c r="AB58" s="11">
        <v>0</v>
      </c>
      <c r="AC58" s="11">
        <f t="shared" si="1"/>
        <v>10</v>
      </c>
      <c r="AD58" s="20">
        <f t="shared" si="2"/>
        <v>2.4449877750611249E-2</v>
      </c>
      <c r="AE58" s="11">
        <f t="shared" si="3"/>
        <v>24.44987775061125</v>
      </c>
      <c r="AF58" s="11">
        <f t="shared" si="4"/>
        <v>0.48899755501222492</v>
      </c>
      <c r="AG58" s="11">
        <f t="shared" si="5"/>
        <v>0</v>
      </c>
      <c r="AH58" s="11">
        <f t="shared" si="6"/>
        <v>0.25</v>
      </c>
      <c r="AI58" t="s">
        <v>63</v>
      </c>
      <c r="AJ58" t="s">
        <v>63</v>
      </c>
      <c r="AK58" t="s">
        <v>81</v>
      </c>
      <c r="AL58" t="s">
        <v>71</v>
      </c>
      <c r="AM58" t="str">
        <f t="shared" si="7"/>
        <v>Saturday</v>
      </c>
      <c r="AN58" t="s">
        <v>63</v>
      </c>
      <c r="AO58" s="31" t="s">
        <v>162</v>
      </c>
      <c r="AP58" s="31" t="s">
        <v>1026</v>
      </c>
      <c r="AQ58" t="s">
        <v>62</v>
      </c>
      <c r="AR58" s="11">
        <f t="shared" si="8"/>
        <v>1.0053712904525312</v>
      </c>
    </row>
    <row r="59" spans="1:44" x14ac:dyDescent="0.3">
      <c r="A59" s="8" t="s">
        <v>392</v>
      </c>
      <c r="B59" s="30"/>
      <c r="C59" s="23">
        <v>1</v>
      </c>
      <c r="D59" s="21">
        <v>409</v>
      </c>
      <c r="E59" s="8" t="s">
        <v>42</v>
      </c>
      <c r="F59" t="s">
        <v>395</v>
      </c>
      <c r="G59">
        <v>2</v>
      </c>
      <c r="H59" s="13" t="s">
        <v>47</v>
      </c>
      <c r="I59" s="17">
        <v>45694</v>
      </c>
      <c r="J59" s="2" t="s">
        <v>48</v>
      </c>
      <c r="K59" s="19">
        <f t="shared" ca="1" si="0"/>
        <v>335</v>
      </c>
      <c r="L59" t="s">
        <v>400</v>
      </c>
      <c r="M59" t="s">
        <v>401</v>
      </c>
      <c r="N59" t="s">
        <v>58</v>
      </c>
      <c r="O59" s="11">
        <v>1</v>
      </c>
      <c r="P59" t="s">
        <v>62</v>
      </c>
      <c r="Q59" t="s">
        <v>402</v>
      </c>
      <c r="R59" s="11">
        <v>14</v>
      </c>
      <c r="S59" t="s">
        <v>99</v>
      </c>
      <c r="T59" t="s">
        <v>63</v>
      </c>
      <c r="U59" t="s">
        <v>403</v>
      </c>
      <c r="V59" s="2" t="s">
        <v>289</v>
      </c>
      <c r="W59" t="s">
        <v>69</v>
      </c>
      <c r="X59" t="s">
        <v>404</v>
      </c>
      <c r="Y59" t="s">
        <v>62</v>
      </c>
      <c r="Z59" s="11">
        <v>2</v>
      </c>
      <c r="AA59" s="11">
        <v>0</v>
      </c>
      <c r="AB59" s="11">
        <v>0</v>
      </c>
      <c r="AC59" s="11">
        <f t="shared" si="1"/>
        <v>2</v>
      </c>
      <c r="AD59" s="20">
        <f t="shared" si="2"/>
        <v>4.8899755501222494E-3</v>
      </c>
      <c r="AE59" s="11">
        <f t="shared" si="3"/>
        <v>4.8899755501222497</v>
      </c>
      <c r="AF59" s="11">
        <f t="shared" si="4"/>
        <v>0</v>
      </c>
      <c r="AG59" s="11">
        <f t="shared" si="5"/>
        <v>0</v>
      </c>
      <c r="AH59" s="11">
        <f t="shared" si="6"/>
        <v>0</v>
      </c>
      <c r="AI59" t="s">
        <v>62</v>
      </c>
      <c r="AJ59" t="s">
        <v>63</v>
      </c>
      <c r="AK59" t="s">
        <v>81</v>
      </c>
      <c r="AL59" t="s">
        <v>405</v>
      </c>
      <c r="AM59" t="str">
        <f t="shared" si="7"/>
        <v>Thursday</v>
      </c>
      <c r="AN59" t="s">
        <v>63</v>
      </c>
      <c r="AO59" s="31"/>
      <c r="AP59" s="31"/>
      <c r="AQ59" t="s">
        <v>62</v>
      </c>
      <c r="AR59" s="11">
        <f t="shared" si="8"/>
        <v>1.0010742580905063</v>
      </c>
    </row>
    <row r="60" spans="1:44" x14ac:dyDescent="0.3">
      <c r="A60" s="8" t="s">
        <v>392</v>
      </c>
      <c r="B60" s="30"/>
      <c r="C60" s="23">
        <v>1</v>
      </c>
      <c r="D60" s="21">
        <v>409</v>
      </c>
      <c r="E60" s="8" t="s">
        <v>42</v>
      </c>
      <c r="F60" t="s">
        <v>396</v>
      </c>
      <c r="G60">
        <v>3</v>
      </c>
      <c r="H60" s="13" t="s">
        <v>47</v>
      </c>
      <c r="I60" s="17">
        <v>45646</v>
      </c>
      <c r="J60" s="2" t="s">
        <v>48</v>
      </c>
      <c r="K60" s="19">
        <f t="shared" ca="1" si="0"/>
        <v>383</v>
      </c>
      <c r="L60" t="s">
        <v>400</v>
      </c>
      <c r="M60" t="s">
        <v>401</v>
      </c>
      <c r="N60" s="2" t="s">
        <v>57</v>
      </c>
      <c r="O60" s="11">
        <v>1</v>
      </c>
      <c r="P60" t="s">
        <v>62</v>
      </c>
      <c r="Q60" t="s">
        <v>371</v>
      </c>
      <c r="R60" s="11">
        <v>17</v>
      </c>
      <c r="S60" t="s">
        <v>99</v>
      </c>
      <c r="T60" t="s">
        <v>63</v>
      </c>
      <c r="U60" t="s">
        <v>141</v>
      </c>
      <c r="V60" t="s">
        <v>141</v>
      </c>
      <c r="W60" t="s">
        <v>76</v>
      </c>
      <c r="X60" t="s">
        <v>406</v>
      </c>
      <c r="Y60" t="s">
        <v>62</v>
      </c>
      <c r="Z60" s="11">
        <v>7</v>
      </c>
      <c r="AA60" s="11">
        <v>1</v>
      </c>
      <c r="AB60" s="11">
        <v>2</v>
      </c>
      <c r="AC60" s="11">
        <f t="shared" si="1"/>
        <v>10</v>
      </c>
      <c r="AD60" s="20">
        <f t="shared" si="2"/>
        <v>2.4449877750611249E-2</v>
      </c>
      <c r="AE60" s="11">
        <f t="shared" si="3"/>
        <v>24.44987775061125</v>
      </c>
      <c r="AF60" s="11">
        <f t="shared" si="4"/>
        <v>0.24449877750611246</v>
      </c>
      <c r="AG60" s="11">
        <f t="shared" si="5"/>
        <v>0.48899755501222492</v>
      </c>
      <c r="AH60" s="11">
        <f t="shared" si="6"/>
        <v>0.14285714285714285</v>
      </c>
      <c r="AI60" t="s">
        <v>63</v>
      </c>
      <c r="AJ60" t="s">
        <v>63</v>
      </c>
      <c r="AK60" t="s">
        <v>407</v>
      </c>
      <c r="AL60" t="s">
        <v>71</v>
      </c>
      <c r="AM60" t="str">
        <f t="shared" si="7"/>
        <v>Friday</v>
      </c>
      <c r="AN60" t="s">
        <v>63</v>
      </c>
      <c r="AO60" s="31"/>
      <c r="AP60" s="31"/>
      <c r="AQ60" t="s">
        <v>62</v>
      </c>
      <c r="AR60" s="11">
        <f t="shared" si="8"/>
        <v>1.0053712904525312</v>
      </c>
    </row>
    <row r="61" spans="1:44" x14ac:dyDescent="0.3">
      <c r="A61" s="8" t="s">
        <v>392</v>
      </c>
      <c r="B61" s="30"/>
      <c r="C61" s="23">
        <v>1</v>
      </c>
      <c r="D61" s="21">
        <v>409</v>
      </c>
      <c r="E61" s="8" t="s">
        <v>42</v>
      </c>
      <c r="F61" t="s">
        <v>397</v>
      </c>
      <c r="G61">
        <v>4</v>
      </c>
      <c r="H61" s="13" t="s">
        <v>47</v>
      </c>
      <c r="I61" s="17">
        <v>45646</v>
      </c>
      <c r="J61" s="2" t="s">
        <v>48</v>
      </c>
      <c r="K61" s="19">
        <f t="shared" ca="1" si="0"/>
        <v>383</v>
      </c>
      <c r="L61" t="s">
        <v>414</v>
      </c>
      <c r="M61" t="s">
        <v>415</v>
      </c>
      <c r="N61" t="s">
        <v>58</v>
      </c>
      <c r="O61" s="11">
        <v>1</v>
      </c>
      <c r="P61" t="s">
        <v>59</v>
      </c>
      <c r="Q61" t="s">
        <v>254</v>
      </c>
      <c r="R61" s="11">
        <v>6</v>
      </c>
      <c r="S61" s="2" t="s">
        <v>61</v>
      </c>
      <c r="T61" t="s">
        <v>63</v>
      </c>
      <c r="U61" t="s">
        <v>416</v>
      </c>
      <c r="V61" t="s">
        <v>141</v>
      </c>
      <c r="W61" t="s">
        <v>76</v>
      </c>
      <c r="X61" t="s">
        <v>417</v>
      </c>
      <c r="Y61" t="s">
        <v>62</v>
      </c>
      <c r="Z61" s="11">
        <v>7</v>
      </c>
      <c r="AA61" s="11">
        <v>1</v>
      </c>
      <c r="AB61" s="11">
        <v>0</v>
      </c>
      <c r="AC61" s="11">
        <f t="shared" si="1"/>
        <v>8</v>
      </c>
      <c r="AD61" s="20">
        <f t="shared" si="2"/>
        <v>1.9559902200488997E-2</v>
      </c>
      <c r="AE61" s="11">
        <f t="shared" si="3"/>
        <v>19.559902200488999</v>
      </c>
      <c r="AF61" s="11">
        <f t="shared" si="4"/>
        <v>0.24449877750611246</v>
      </c>
      <c r="AG61" s="11">
        <f t="shared" si="5"/>
        <v>0</v>
      </c>
      <c r="AH61" s="11">
        <f t="shared" si="6"/>
        <v>0.14285714285714285</v>
      </c>
      <c r="AI61" t="s">
        <v>63</v>
      </c>
      <c r="AJ61" t="s">
        <v>63</v>
      </c>
      <c r="AK61" t="s">
        <v>418</v>
      </c>
      <c r="AL61" t="s">
        <v>231</v>
      </c>
      <c r="AM61" t="str">
        <f t="shared" si="7"/>
        <v>Friday</v>
      </c>
      <c r="AN61" t="s">
        <v>63</v>
      </c>
      <c r="AO61" s="31"/>
      <c r="AP61" s="31"/>
      <c r="AQ61" t="s">
        <v>62</v>
      </c>
      <c r="AR61" s="11">
        <f t="shared" si="8"/>
        <v>1.0042970323620251</v>
      </c>
    </row>
    <row r="62" spans="1:44" x14ac:dyDescent="0.3">
      <c r="A62" s="8" t="s">
        <v>408</v>
      </c>
      <c r="B62" s="30" t="s">
        <v>409</v>
      </c>
      <c r="C62" s="23">
        <v>10</v>
      </c>
      <c r="D62" s="21">
        <v>5131</v>
      </c>
      <c r="E62" s="8" t="s">
        <v>42</v>
      </c>
      <c r="F62" t="s">
        <v>410</v>
      </c>
      <c r="G62">
        <v>1</v>
      </c>
      <c r="H62" s="13" t="s">
        <v>47</v>
      </c>
      <c r="I62" s="17">
        <v>46008</v>
      </c>
      <c r="J62" s="2" t="s">
        <v>48</v>
      </c>
      <c r="K62" s="19">
        <f t="shared" ca="1" si="0"/>
        <v>21</v>
      </c>
      <c r="L62" t="s">
        <v>419</v>
      </c>
      <c r="M62" t="s">
        <v>420</v>
      </c>
      <c r="N62" s="2" t="s">
        <v>57</v>
      </c>
      <c r="O62" s="11">
        <v>1</v>
      </c>
      <c r="P62" t="s">
        <v>59</v>
      </c>
      <c r="Q62" t="s">
        <v>188</v>
      </c>
      <c r="R62" s="11">
        <v>17</v>
      </c>
      <c r="S62" s="2" t="s">
        <v>99</v>
      </c>
      <c r="T62" t="s">
        <v>63</v>
      </c>
      <c r="U62" s="9" t="s">
        <v>340</v>
      </c>
      <c r="V62" t="s">
        <v>141</v>
      </c>
      <c r="W62" s="2" t="s">
        <v>142</v>
      </c>
      <c r="X62" t="s">
        <v>421</v>
      </c>
      <c r="Y62" t="s">
        <v>62</v>
      </c>
      <c r="Z62" s="11">
        <v>7</v>
      </c>
      <c r="AA62" s="11">
        <v>0</v>
      </c>
      <c r="AB62" s="11">
        <v>0</v>
      </c>
      <c r="AC62" s="11">
        <f t="shared" si="1"/>
        <v>7</v>
      </c>
      <c r="AD62" s="20">
        <f t="shared" si="2"/>
        <v>1.364256480218281E-3</v>
      </c>
      <c r="AE62" s="11">
        <f t="shared" si="3"/>
        <v>1.3642564802182811</v>
      </c>
      <c r="AF62" s="11">
        <f t="shared" si="4"/>
        <v>0</v>
      </c>
      <c r="AG62" s="11">
        <f t="shared" si="5"/>
        <v>0</v>
      </c>
      <c r="AH62" s="11">
        <f t="shared" si="6"/>
        <v>0</v>
      </c>
      <c r="AI62" t="s">
        <v>63</v>
      </c>
      <c r="AJ62" t="s">
        <v>62</v>
      </c>
      <c r="AK62" t="s">
        <v>422</v>
      </c>
      <c r="AL62" t="s">
        <v>188</v>
      </c>
      <c r="AM62" t="str">
        <f t="shared" si="7"/>
        <v>Wednesday</v>
      </c>
      <c r="AN62" t="s">
        <v>62</v>
      </c>
      <c r="AO62" s="31" t="s">
        <v>162</v>
      </c>
      <c r="AP62" s="31" t="s">
        <v>1027</v>
      </c>
      <c r="AQ62" t="s">
        <v>63</v>
      </c>
      <c r="AR62" s="11">
        <f t="shared" si="8"/>
        <v>1.0037599033167719</v>
      </c>
    </row>
    <row r="63" spans="1:44" x14ac:dyDescent="0.3">
      <c r="A63" s="8" t="s">
        <v>408</v>
      </c>
      <c r="B63" s="30"/>
      <c r="C63" s="23">
        <v>10</v>
      </c>
      <c r="D63" s="21">
        <v>5131</v>
      </c>
      <c r="E63" s="8" t="s">
        <v>42</v>
      </c>
      <c r="F63" t="s">
        <v>285</v>
      </c>
      <c r="G63">
        <v>2</v>
      </c>
      <c r="H63" s="13" t="s">
        <v>412</v>
      </c>
      <c r="I63" s="17">
        <v>46005</v>
      </c>
      <c r="J63" s="2" t="s">
        <v>48</v>
      </c>
      <c r="K63" s="19">
        <f t="shared" ca="1" si="0"/>
        <v>24</v>
      </c>
      <c r="L63" t="s">
        <v>423</v>
      </c>
      <c r="M63" t="s">
        <v>424</v>
      </c>
      <c r="N63" t="s">
        <v>187</v>
      </c>
      <c r="O63" s="11">
        <v>1</v>
      </c>
      <c r="P63" t="s">
        <v>59</v>
      </c>
      <c r="Q63" t="s">
        <v>425</v>
      </c>
      <c r="R63" s="11">
        <v>7</v>
      </c>
      <c r="S63" s="2" t="s">
        <v>99</v>
      </c>
      <c r="T63" t="s">
        <v>63</v>
      </c>
      <c r="U63" t="s">
        <v>426</v>
      </c>
      <c r="V63" t="s">
        <v>173</v>
      </c>
      <c r="W63" s="2" t="s">
        <v>142</v>
      </c>
      <c r="X63" t="s">
        <v>427</v>
      </c>
      <c r="Y63" t="s">
        <v>62</v>
      </c>
      <c r="Z63" s="11">
        <v>8</v>
      </c>
      <c r="AA63" s="11">
        <v>2</v>
      </c>
      <c r="AB63" s="11">
        <v>0</v>
      </c>
      <c r="AC63" s="11">
        <f t="shared" si="1"/>
        <v>10</v>
      </c>
      <c r="AD63" s="20">
        <f t="shared" si="2"/>
        <v>1.9489378288832587E-3</v>
      </c>
      <c r="AE63" s="11">
        <f t="shared" si="3"/>
        <v>1.9489378288832586</v>
      </c>
      <c r="AF63" s="11">
        <f t="shared" si="4"/>
        <v>3.8978756577665169E-2</v>
      </c>
      <c r="AG63" s="11">
        <f t="shared" si="5"/>
        <v>0</v>
      </c>
      <c r="AH63" s="11">
        <f t="shared" si="6"/>
        <v>0.25</v>
      </c>
      <c r="AI63" t="s">
        <v>63</v>
      </c>
      <c r="AJ63" t="s">
        <v>62</v>
      </c>
      <c r="AK63" t="s">
        <v>428</v>
      </c>
      <c r="AL63" t="s">
        <v>258</v>
      </c>
      <c r="AM63" t="str">
        <f t="shared" si="7"/>
        <v>Sunday</v>
      </c>
      <c r="AN63" t="s">
        <v>62</v>
      </c>
      <c r="AO63" s="31"/>
      <c r="AP63" s="31"/>
      <c r="AQ63" t="s">
        <v>63</v>
      </c>
      <c r="AR63" s="11">
        <f t="shared" si="8"/>
        <v>1.0053712904525312</v>
      </c>
    </row>
    <row r="64" spans="1:44" x14ac:dyDescent="0.3">
      <c r="A64" s="8" t="s">
        <v>408</v>
      </c>
      <c r="B64" s="30"/>
      <c r="C64" s="23">
        <v>10</v>
      </c>
      <c r="D64" s="21">
        <v>5131</v>
      </c>
      <c r="E64" s="8" t="s">
        <v>42</v>
      </c>
      <c r="F64" t="s">
        <v>45</v>
      </c>
      <c r="G64">
        <v>3</v>
      </c>
      <c r="H64" s="13" t="s">
        <v>47</v>
      </c>
      <c r="I64" s="17">
        <v>46005</v>
      </c>
      <c r="J64" s="2" t="s">
        <v>48</v>
      </c>
      <c r="K64" s="19">
        <f t="shared" ca="1" si="0"/>
        <v>24</v>
      </c>
      <c r="L64" t="s">
        <v>52</v>
      </c>
      <c r="M64" t="s">
        <v>429</v>
      </c>
      <c r="N64" t="s">
        <v>187</v>
      </c>
      <c r="O64" s="11">
        <v>1</v>
      </c>
      <c r="P64" t="s">
        <v>59</v>
      </c>
      <c r="Q64" t="s">
        <v>188</v>
      </c>
      <c r="R64" s="11">
        <v>9</v>
      </c>
      <c r="S64" s="2" t="s">
        <v>61</v>
      </c>
      <c r="T64" t="s">
        <v>63</v>
      </c>
      <c r="U64" t="s">
        <v>273</v>
      </c>
      <c r="V64" t="s">
        <v>141</v>
      </c>
      <c r="W64" t="s">
        <v>76</v>
      </c>
      <c r="X64" t="s">
        <v>430</v>
      </c>
      <c r="Y64" t="s">
        <v>63</v>
      </c>
      <c r="Z64" s="11">
        <v>15</v>
      </c>
      <c r="AA64" s="11">
        <v>12</v>
      </c>
      <c r="AB64" s="11">
        <v>0</v>
      </c>
      <c r="AC64" s="11">
        <f t="shared" si="1"/>
        <v>27</v>
      </c>
      <c r="AD64" s="20">
        <f t="shared" si="2"/>
        <v>5.2621321379847982E-3</v>
      </c>
      <c r="AE64" s="11">
        <f t="shared" si="3"/>
        <v>5.2621321379847981</v>
      </c>
      <c r="AF64" s="11">
        <f t="shared" si="4"/>
        <v>0.23387253946599104</v>
      </c>
      <c r="AG64" s="11">
        <f t="shared" si="5"/>
        <v>0</v>
      </c>
      <c r="AH64" s="11">
        <f t="shared" si="6"/>
        <v>0.8</v>
      </c>
      <c r="AI64" t="s">
        <v>62</v>
      </c>
      <c r="AJ64" t="s">
        <v>62</v>
      </c>
      <c r="AK64" t="s">
        <v>431</v>
      </c>
      <c r="AL64" t="s">
        <v>432</v>
      </c>
      <c r="AM64" t="str">
        <f t="shared" si="7"/>
        <v>Sunday</v>
      </c>
      <c r="AN64" t="s">
        <v>62</v>
      </c>
      <c r="AO64" s="31"/>
      <c r="AP64" s="31"/>
      <c r="AQ64" t="s">
        <v>63</v>
      </c>
      <c r="AR64" s="11">
        <f t="shared" si="8"/>
        <v>1.0145024842218342</v>
      </c>
    </row>
    <row r="65" spans="1:44" x14ac:dyDescent="0.3">
      <c r="A65" s="8" t="s">
        <v>408</v>
      </c>
      <c r="B65" s="30"/>
      <c r="C65" s="23">
        <v>10</v>
      </c>
      <c r="D65" s="21">
        <v>5131</v>
      </c>
      <c r="E65" s="8" t="s">
        <v>42</v>
      </c>
      <c r="F65" t="s">
        <v>411</v>
      </c>
      <c r="G65">
        <v>4</v>
      </c>
      <c r="H65" s="13" t="s">
        <v>47</v>
      </c>
      <c r="I65" s="17">
        <v>45999</v>
      </c>
      <c r="J65" s="2" t="s">
        <v>48</v>
      </c>
      <c r="K65" s="19">
        <f t="shared" ca="1" si="0"/>
        <v>30</v>
      </c>
      <c r="L65" t="s">
        <v>433</v>
      </c>
      <c r="M65" t="s">
        <v>434</v>
      </c>
      <c r="N65" t="s">
        <v>187</v>
      </c>
      <c r="O65" s="11">
        <v>1</v>
      </c>
      <c r="P65" t="s">
        <v>59</v>
      </c>
      <c r="Q65" t="s">
        <v>435</v>
      </c>
      <c r="R65" s="11">
        <v>6</v>
      </c>
      <c r="S65" s="2" t="s">
        <v>99</v>
      </c>
      <c r="T65" t="s">
        <v>63</v>
      </c>
      <c r="U65" t="s">
        <v>436</v>
      </c>
      <c r="V65" t="s">
        <v>141</v>
      </c>
      <c r="W65" s="2" t="s">
        <v>142</v>
      </c>
      <c r="X65" t="s">
        <v>430</v>
      </c>
      <c r="Y65" t="s">
        <v>63</v>
      </c>
      <c r="Z65" s="11">
        <v>25</v>
      </c>
      <c r="AA65" s="11">
        <v>3</v>
      </c>
      <c r="AB65" s="11">
        <v>0</v>
      </c>
      <c r="AC65" s="11">
        <f t="shared" si="1"/>
        <v>28</v>
      </c>
      <c r="AD65" s="20">
        <f t="shared" si="2"/>
        <v>5.4570259208731242E-3</v>
      </c>
      <c r="AE65" s="11">
        <f t="shared" si="3"/>
        <v>5.4570259208731242</v>
      </c>
      <c r="AF65" s="11">
        <f t="shared" si="4"/>
        <v>5.846813486649776E-2</v>
      </c>
      <c r="AG65" s="11">
        <f t="shared" si="5"/>
        <v>0</v>
      </c>
      <c r="AH65" s="11">
        <f t="shared" si="6"/>
        <v>0.12</v>
      </c>
      <c r="AI65" t="s">
        <v>63</v>
      </c>
      <c r="AJ65" t="s">
        <v>62</v>
      </c>
      <c r="AK65" t="s">
        <v>438</v>
      </c>
      <c r="AL65" t="s">
        <v>437</v>
      </c>
      <c r="AM65" t="str">
        <f t="shared" si="7"/>
        <v>Monday</v>
      </c>
      <c r="AN65" t="s">
        <v>62</v>
      </c>
      <c r="AO65" s="31"/>
      <c r="AP65" s="31"/>
      <c r="AQ65" t="s">
        <v>63</v>
      </c>
      <c r="AR65" s="11">
        <f t="shared" si="8"/>
        <v>1.0150396132670874</v>
      </c>
    </row>
    <row r="66" spans="1:44" ht="15" x14ac:dyDescent="0.35">
      <c r="A66" s="8" t="s">
        <v>439</v>
      </c>
      <c r="B66" s="30" t="s">
        <v>440</v>
      </c>
      <c r="C66" s="23">
        <v>1</v>
      </c>
      <c r="D66" s="21">
        <v>550</v>
      </c>
      <c r="E66" s="8" t="s">
        <v>42</v>
      </c>
      <c r="F66" t="s">
        <v>441</v>
      </c>
      <c r="G66">
        <v>1</v>
      </c>
      <c r="H66" s="13" t="s">
        <v>47</v>
      </c>
      <c r="I66" s="17">
        <v>45912</v>
      </c>
      <c r="J66" s="2" t="s">
        <v>48</v>
      </c>
      <c r="K66" s="19">
        <f t="shared" ca="1" si="0"/>
        <v>117</v>
      </c>
      <c r="L66" t="s">
        <v>52</v>
      </c>
      <c r="M66" t="s">
        <v>443</v>
      </c>
      <c r="N66" t="s">
        <v>187</v>
      </c>
      <c r="O66" s="11">
        <v>1</v>
      </c>
      <c r="P66" t="s">
        <v>59</v>
      </c>
      <c r="Q66" t="s">
        <v>444</v>
      </c>
      <c r="R66" s="11">
        <v>9</v>
      </c>
      <c r="S66" s="2" t="s">
        <v>75</v>
      </c>
      <c r="T66" t="s">
        <v>63</v>
      </c>
      <c r="U66" s="15" t="s">
        <v>445</v>
      </c>
      <c r="V66" t="s">
        <v>141</v>
      </c>
      <c r="W66" t="s">
        <v>69</v>
      </c>
      <c r="X66" t="s">
        <v>446</v>
      </c>
      <c r="Y66" t="s">
        <v>63</v>
      </c>
      <c r="Z66" s="11">
        <v>4</v>
      </c>
      <c r="AA66" s="11">
        <v>1</v>
      </c>
      <c r="AB66" s="11">
        <v>0</v>
      </c>
      <c r="AC66" s="11">
        <f t="shared" si="1"/>
        <v>5</v>
      </c>
      <c r="AD66" s="20">
        <f t="shared" si="2"/>
        <v>9.0909090909090905E-3</v>
      </c>
      <c r="AE66" s="11">
        <f t="shared" si="3"/>
        <v>9.0909090909090899</v>
      </c>
      <c r="AF66" s="11">
        <f t="shared" si="4"/>
        <v>0.18181818181818182</v>
      </c>
      <c r="AG66" s="11">
        <f t="shared" si="5"/>
        <v>0</v>
      </c>
      <c r="AH66" s="11">
        <f t="shared" si="6"/>
        <v>0.25</v>
      </c>
      <c r="AI66" t="s">
        <v>63</v>
      </c>
      <c r="AJ66" t="s">
        <v>63</v>
      </c>
      <c r="AK66" t="s">
        <v>447</v>
      </c>
      <c r="AL66" t="s">
        <v>235</v>
      </c>
      <c r="AM66" t="str">
        <f t="shared" si="7"/>
        <v>Friday</v>
      </c>
      <c r="AN66" t="s">
        <v>62</v>
      </c>
      <c r="AO66" s="31" t="s">
        <v>832</v>
      </c>
      <c r="AP66" s="31" t="s">
        <v>1027</v>
      </c>
      <c r="AQ66" t="s">
        <v>63</v>
      </c>
      <c r="AR66" s="11">
        <f t="shared" si="8"/>
        <v>1.0026856452262656</v>
      </c>
    </row>
    <row r="67" spans="1:44" x14ac:dyDescent="0.3">
      <c r="A67" s="8" t="s">
        <v>439</v>
      </c>
      <c r="B67" s="30"/>
      <c r="C67" s="23">
        <v>1</v>
      </c>
      <c r="D67" s="21">
        <v>550</v>
      </c>
      <c r="E67" s="8" t="s">
        <v>42</v>
      </c>
      <c r="F67" t="s">
        <v>365</v>
      </c>
      <c r="G67">
        <v>2</v>
      </c>
      <c r="H67" s="13" t="s">
        <v>47</v>
      </c>
      <c r="I67" s="17">
        <v>45887</v>
      </c>
      <c r="J67" s="2" t="s">
        <v>48</v>
      </c>
      <c r="K67" s="19">
        <f t="shared" ref="K67:K130" ca="1" si="9">IF(ISNUMBER(I67), TODAY() - I67, "")</f>
        <v>142</v>
      </c>
      <c r="L67" t="s">
        <v>423</v>
      </c>
      <c r="M67" t="s">
        <v>401</v>
      </c>
      <c r="N67" t="s">
        <v>187</v>
      </c>
      <c r="O67" s="11">
        <v>1</v>
      </c>
      <c r="P67" t="s">
        <v>59</v>
      </c>
      <c r="Q67" t="s">
        <v>451</v>
      </c>
      <c r="R67" s="11">
        <v>10</v>
      </c>
      <c r="S67" s="2" t="s">
        <v>75</v>
      </c>
      <c r="T67" t="s">
        <v>63</v>
      </c>
      <c r="U67" t="s">
        <v>450</v>
      </c>
      <c r="V67" t="s">
        <v>141</v>
      </c>
      <c r="W67" s="2" t="s">
        <v>142</v>
      </c>
      <c r="X67" t="s">
        <v>449</v>
      </c>
      <c r="Y67" t="s">
        <v>63</v>
      </c>
      <c r="Z67" s="11">
        <v>15</v>
      </c>
      <c r="AA67" s="11">
        <v>4</v>
      </c>
      <c r="AB67" s="11">
        <v>0</v>
      </c>
      <c r="AC67" s="11">
        <f t="shared" ref="AC67:AC130" si="10">Z67+AA67+AB67</f>
        <v>19</v>
      </c>
      <c r="AD67" s="20">
        <f t="shared" ref="AD67:AD130" si="11" xml:space="preserve"> (AC67 / D67)</f>
        <v>3.4545454545454546E-2</v>
      </c>
      <c r="AE67" s="11">
        <f t="shared" ref="AE67:AE130" si="12">(AC67/D67)*1000</f>
        <v>34.545454545454547</v>
      </c>
      <c r="AF67" s="11">
        <f t="shared" ref="AF67:AF130" si="13">(AA67/D67)*100</f>
        <v>0.72727272727272729</v>
      </c>
      <c r="AG67" s="11">
        <f t="shared" ref="AG67:AG130" si="14">(AB67/D67)*100</f>
        <v>0</v>
      </c>
      <c r="AH67" s="11">
        <f t="shared" ref="AH67:AH130" si="15">IF(Z67=0,0,AA67/Z67)</f>
        <v>0.26666666666666666</v>
      </c>
      <c r="AI67" t="s">
        <v>63</v>
      </c>
      <c r="AJ67" t="s">
        <v>63</v>
      </c>
      <c r="AK67" t="s">
        <v>448</v>
      </c>
      <c r="AL67" t="s">
        <v>437</v>
      </c>
      <c r="AM67" t="str">
        <f t="shared" ref="AM67:AM130" si="16">TEXT(I67,"dddd")</f>
        <v>Monday</v>
      </c>
      <c r="AN67" t="s">
        <v>62</v>
      </c>
      <c r="AO67" s="31"/>
      <c r="AP67" s="31"/>
      <c r="AQ67" t="s">
        <v>63</v>
      </c>
      <c r="AR67" s="11">
        <f t="shared" ref="AR67:AR130" si="17">1 + 4*((AC67 - MIN($AC$2:$AC$100)) / (MAX($AC$2:$AC$100) - MIN($AC$2:$AC$100)))</f>
        <v>1.0102054518598094</v>
      </c>
    </row>
    <row r="68" spans="1:44" x14ac:dyDescent="0.3">
      <c r="A68" s="8" t="s">
        <v>439</v>
      </c>
      <c r="B68" s="30"/>
      <c r="C68" s="23">
        <v>1</v>
      </c>
      <c r="D68" s="21">
        <v>550</v>
      </c>
      <c r="E68" s="8" t="s">
        <v>42</v>
      </c>
      <c r="F68" t="s">
        <v>85</v>
      </c>
      <c r="G68">
        <v>3</v>
      </c>
      <c r="H68" s="13" t="s">
        <v>47</v>
      </c>
      <c r="I68" s="17">
        <v>45820</v>
      </c>
      <c r="J68" s="2" t="s">
        <v>48</v>
      </c>
      <c r="K68" s="19">
        <f t="shared" ca="1" si="9"/>
        <v>209</v>
      </c>
      <c r="L68" t="s">
        <v>452</v>
      </c>
      <c r="M68" t="s">
        <v>443</v>
      </c>
      <c r="N68" t="s">
        <v>187</v>
      </c>
      <c r="O68" s="11">
        <v>1</v>
      </c>
      <c r="P68" t="s">
        <v>59</v>
      </c>
      <c r="Q68" t="s">
        <v>453</v>
      </c>
      <c r="R68" s="11">
        <v>14</v>
      </c>
      <c r="S68" s="2" t="s">
        <v>75</v>
      </c>
      <c r="T68" t="s">
        <v>63</v>
      </c>
      <c r="U68" t="s">
        <v>454</v>
      </c>
      <c r="V68" s="2" t="s">
        <v>289</v>
      </c>
      <c r="W68" t="s">
        <v>69</v>
      </c>
      <c r="X68" t="s">
        <v>455</v>
      </c>
      <c r="Y68" t="s">
        <v>63</v>
      </c>
      <c r="Z68" s="11">
        <v>5</v>
      </c>
      <c r="AA68" s="11">
        <v>2</v>
      </c>
      <c r="AB68" s="11">
        <v>0</v>
      </c>
      <c r="AC68" s="11">
        <f t="shared" si="10"/>
        <v>7</v>
      </c>
      <c r="AD68" s="20">
        <f t="shared" si="11"/>
        <v>1.2727272727272728E-2</v>
      </c>
      <c r="AE68" s="11">
        <f t="shared" si="12"/>
        <v>12.727272727272728</v>
      </c>
      <c r="AF68" s="11">
        <f t="shared" si="13"/>
        <v>0.36363636363636365</v>
      </c>
      <c r="AG68" s="11">
        <f t="shared" si="14"/>
        <v>0</v>
      </c>
      <c r="AH68" s="11">
        <f t="shared" si="15"/>
        <v>0.4</v>
      </c>
      <c r="AI68" t="s">
        <v>63</v>
      </c>
      <c r="AJ68" t="s">
        <v>63</v>
      </c>
      <c r="AK68" t="s">
        <v>447</v>
      </c>
      <c r="AL68" t="s">
        <v>235</v>
      </c>
      <c r="AM68" t="str">
        <f t="shared" si="16"/>
        <v>Thursday</v>
      </c>
      <c r="AN68" t="s">
        <v>62</v>
      </c>
      <c r="AO68" s="31"/>
      <c r="AP68" s="31"/>
      <c r="AQ68" t="s">
        <v>63</v>
      </c>
      <c r="AR68" s="11">
        <f t="shared" si="17"/>
        <v>1.0037599033167719</v>
      </c>
    </row>
    <row r="69" spans="1:44" x14ac:dyDescent="0.3">
      <c r="A69" s="8" t="s">
        <v>439</v>
      </c>
      <c r="B69" s="30"/>
      <c r="C69" s="23">
        <v>1</v>
      </c>
      <c r="D69" s="21">
        <v>550</v>
      </c>
      <c r="E69" s="8" t="s">
        <v>42</v>
      </c>
      <c r="F69" t="s">
        <v>442</v>
      </c>
      <c r="G69">
        <v>4</v>
      </c>
      <c r="H69" s="13" t="s">
        <v>47</v>
      </c>
      <c r="I69" s="17">
        <v>45799</v>
      </c>
      <c r="J69" s="2" t="s">
        <v>48</v>
      </c>
      <c r="K69" s="19">
        <f t="shared" ca="1" si="9"/>
        <v>230</v>
      </c>
      <c r="L69" t="s">
        <v>52</v>
      </c>
      <c r="M69" t="s">
        <v>456</v>
      </c>
      <c r="N69" t="s">
        <v>187</v>
      </c>
      <c r="O69" s="11">
        <v>1</v>
      </c>
      <c r="P69" t="s">
        <v>59</v>
      </c>
      <c r="Q69" t="s">
        <v>457</v>
      </c>
      <c r="R69" s="11">
        <v>15</v>
      </c>
      <c r="S69" s="2" t="s">
        <v>61</v>
      </c>
      <c r="T69" t="s">
        <v>63</v>
      </c>
      <c r="U69" t="s">
        <v>458</v>
      </c>
      <c r="V69" t="s">
        <v>141</v>
      </c>
      <c r="W69" s="2" t="s">
        <v>142</v>
      </c>
      <c r="X69" t="s">
        <v>459</v>
      </c>
      <c r="Y69" t="s">
        <v>62</v>
      </c>
      <c r="Z69" s="11">
        <v>6</v>
      </c>
      <c r="AA69" s="11">
        <v>1</v>
      </c>
      <c r="AB69" s="11">
        <v>0</v>
      </c>
      <c r="AC69" s="11">
        <f t="shared" si="10"/>
        <v>7</v>
      </c>
      <c r="AD69" s="20">
        <f t="shared" si="11"/>
        <v>1.2727272727272728E-2</v>
      </c>
      <c r="AE69" s="11">
        <f t="shared" si="12"/>
        <v>12.727272727272728</v>
      </c>
      <c r="AF69" s="11">
        <f t="shared" si="13"/>
        <v>0.18181818181818182</v>
      </c>
      <c r="AG69" s="11">
        <f t="shared" si="14"/>
        <v>0</v>
      </c>
      <c r="AH69" s="11">
        <f t="shared" si="15"/>
        <v>0.16666666666666666</v>
      </c>
      <c r="AI69" t="s">
        <v>63</v>
      </c>
      <c r="AJ69" t="s">
        <v>63</v>
      </c>
      <c r="AK69" t="s">
        <v>460</v>
      </c>
      <c r="AL69" t="s">
        <v>437</v>
      </c>
      <c r="AM69" t="str">
        <f t="shared" si="16"/>
        <v>Thursday</v>
      </c>
      <c r="AN69" t="s">
        <v>62</v>
      </c>
      <c r="AO69" s="31"/>
      <c r="AP69" s="31"/>
      <c r="AQ69" t="s">
        <v>63</v>
      </c>
      <c r="AR69" s="11">
        <f t="shared" si="17"/>
        <v>1.0037599033167719</v>
      </c>
    </row>
    <row r="70" spans="1:44" x14ac:dyDescent="0.3">
      <c r="A70" s="8" t="s">
        <v>461</v>
      </c>
      <c r="B70" s="30" t="s">
        <v>463</v>
      </c>
      <c r="C70" s="23">
        <v>10</v>
      </c>
      <c r="D70" s="21">
        <v>6922</v>
      </c>
      <c r="E70" s="8" t="s">
        <v>42</v>
      </c>
      <c r="F70" t="s">
        <v>467</v>
      </c>
      <c r="G70">
        <v>1</v>
      </c>
      <c r="H70" s="13" t="s">
        <v>47</v>
      </c>
      <c r="I70" s="17">
        <v>46007</v>
      </c>
      <c r="J70" s="2" t="s">
        <v>48</v>
      </c>
      <c r="K70" s="19">
        <f t="shared" ca="1" si="9"/>
        <v>22</v>
      </c>
      <c r="L70" s="2" t="s">
        <v>90</v>
      </c>
      <c r="M70" t="s">
        <v>286</v>
      </c>
      <c r="N70" t="s">
        <v>187</v>
      </c>
      <c r="O70" s="11">
        <v>1</v>
      </c>
      <c r="P70" t="s">
        <v>59</v>
      </c>
      <c r="Q70" t="s">
        <v>469</v>
      </c>
      <c r="R70" s="11">
        <v>8</v>
      </c>
      <c r="S70" s="2" t="s">
        <v>75</v>
      </c>
      <c r="T70" t="s">
        <v>63</v>
      </c>
      <c r="U70" t="s">
        <v>470</v>
      </c>
      <c r="V70" t="s">
        <v>141</v>
      </c>
      <c r="W70" t="s">
        <v>76</v>
      </c>
      <c r="X70" t="s">
        <v>471</v>
      </c>
      <c r="Y70" t="s">
        <v>62</v>
      </c>
      <c r="Z70" s="11">
        <v>2</v>
      </c>
      <c r="AA70" s="11">
        <v>0</v>
      </c>
      <c r="AB70" s="11">
        <v>0</v>
      </c>
      <c r="AC70" s="11">
        <f t="shared" si="10"/>
        <v>2</v>
      </c>
      <c r="AD70" s="20">
        <f t="shared" si="11"/>
        <v>2.8893383415197921E-4</v>
      </c>
      <c r="AE70" s="11">
        <f t="shared" si="12"/>
        <v>0.28893383415197921</v>
      </c>
      <c r="AF70" s="11">
        <f t="shared" si="13"/>
        <v>0</v>
      </c>
      <c r="AG70" s="11">
        <f t="shared" si="14"/>
        <v>0</v>
      </c>
      <c r="AH70" s="11">
        <f t="shared" si="15"/>
        <v>0</v>
      </c>
      <c r="AI70" t="s">
        <v>171</v>
      </c>
      <c r="AJ70" t="s">
        <v>62</v>
      </c>
      <c r="AK70" t="s">
        <v>473</v>
      </c>
      <c r="AL70" t="s">
        <v>472</v>
      </c>
      <c r="AM70" t="str">
        <f t="shared" si="16"/>
        <v>Tuesday</v>
      </c>
      <c r="AN70" t="s">
        <v>63</v>
      </c>
      <c r="AO70" s="31" t="s">
        <v>1027</v>
      </c>
      <c r="AP70" s="31" t="s">
        <v>55</v>
      </c>
      <c r="AQ70" t="s">
        <v>63</v>
      </c>
      <c r="AR70" s="11">
        <f t="shared" si="17"/>
        <v>1.0010742580905063</v>
      </c>
    </row>
    <row r="71" spans="1:44" x14ac:dyDescent="0.3">
      <c r="A71" s="8" t="s">
        <v>461</v>
      </c>
      <c r="B71" s="30"/>
      <c r="C71" s="23">
        <v>10</v>
      </c>
      <c r="D71" s="21">
        <v>6922</v>
      </c>
      <c r="E71" s="8" t="s">
        <v>42</v>
      </c>
      <c r="F71" t="s">
        <v>465</v>
      </c>
      <c r="G71">
        <v>2</v>
      </c>
      <c r="H71" s="13" t="s">
        <v>47</v>
      </c>
      <c r="I71" s="17">
        <v>45985</v>
      </c>
      <c r="J71" s="2" t="s">
        <v>48</v>
      </c>
      <c r="K71" s="19">
        <f t="shared" ca="1" si="9"/>
        <v>44</v>
      </c>
      <c r="L71" t="s">
        <v>474</v>
      </c>
      <c r="M71" t="s">
        <v>475</v>
      </c>
      <c r="N71" t="s">
        <v>187</v>
      </c>
      <c r="O71" s="11">
        <v>1</v>
      </c>
      <c r="P71" t="s">
        <v>59</v>
      </c>
      <c r="Q71" t="s">
        <v>476</v>
      </c>
      <c r="R71" s="11">
        <v>14</v>
      </c>
      <c r="S71" s="2" t="s">
        <v>99</v>
      </c>
      <c r="T71" t="s">
        <v>63</v>
      </c>
      <c r="U71" t="s">
        <v>477</v>
      </c>
      <c r="V71" s="2" t="s">
        <v>289</v>
      </c>
      <c r="W71" s="2" t="s">
        <v>142</v>
      </c>
      <c r="X71" s="9" t="s">
        <v>478</v>
      </c>
      <c r="Y71" t="s">
        <v>62</v>
      </c>
      <c r="Z71" s="11">
        <v>4</v>
      </c>
      <c r="AA71" s="11">
        <v>1</v>
      </c>
      <c r="AB71" s="11">
        <v>0</v>
      </c>
      <c r="AC71" s="11">
        <f t="shared" si="10"/>
        <v>5</v>
      </c>
      <c r="AD71" s="20">
        <f t="shared" si="11"/>
        <v>7.2233458537994801E-4</v>
      </c>
      <c r="AE71" s="11">
        <f t="shared" si="12"/>
        <v>0.72233458537994799</v>
      </c>
      <c r="AF71" s="11">
        <f t="shared" si="13"/>
        <v>1.4446691707598961E-2</v>
      </c>
      <c r="AG71" s="11">
        <f t="shared" si="14"/>
        <v>0</v>
      </c>
      <c r="AH71" s="11">
        <f t="shared" si="15"/>
        <v>0.25</v>
      </c>
      <c r="AI71" t="s">
        <v>63</v>
      </c>
      <c r="AJ71" t="s">
        <v>62</v>
      </c>
      <c r="AK71" t="s">
        <v>479</v>
      </c>
      <c r="AL71" t="s">
        <v>480</v>
      </c>
      <c r="AM71" t="str">
        <f t="shared" si="16"/>
        <v>Monday</v>
      </c>
      <c r="AN71" t="s">
        <v>63</v>
      </c>
      <c r="AO71" s="31"/>
      <c r="AP71" s="31"/>
      <c r="AQ71" t="s">
        <v>63</v>
      </c>
      <c r="AR71" s="11">
        <f t="shared" si="17"/>
        <v>1.0026856452262656</v>
      </c>
    </row>
    <row r="72" spans="1:44" x14ac:dyDescent="0.3">
      <c r="A72" s="8" t="s">
        <v>461</v>
      </c>
      <c r="B72" s="30"/>
      <c r="C72" s="23">
        <v>10</v>
      </c>
      <c r="D72" s="21">
        <v>6922</v>
      </c>
      <c r="E72" s="8" t="s">
        <v>42</v>
      </c>
      <c r="F72" t="s">
        <v>466</v>
      </c>
      <c r="G72">
        <v>3</v>
      </c>
      <c r="H72" s="13" t="s">
        <v>47</v>
      </c>
      <c r="I72" s="17">
        <v>45981</v>
      </c>
      <c r="J72" s="2" t="s">
        <v>48</v>
      </c>
      <c r="K72" s="19">
        <f t="shared" ca="1" si="9"/>
        <v>48</v>
      </c>
      <c r="L72" t="s">
        <v>52</v>
      </c>
      <c r="M72" t="s">
        <v>481</v>
      </c>
      <c r="N72" t="s">
        <v>187</v>
      </c>
      <c r="O72" s="11">
        <v>1</v>
      </c>
      <c r="P72" t="s">
        <v>59</v>
      </c>
      <c r="Q72" t="s">
        <v>188</v>
      </c>
      <c r="R72" s="11">
        <v>9</v>
      </c>
      <c r="S72" s="2" t="s">
        <v>61</v>
      </c>
      <c r="T72" t="s">
        <v>63</v>
      </c>
      <c r="U72" t="s">
        <v>482</v>
      </c>
      <c r="V72" t="s">
        <v>141</v>
      </c>
      <c r="W72" t="s">
        <v>76</v>
      </c>
      <c r="X72" t="s">
        <v>483</v>
      </c>
      <c r="Y72" t="s">
        <v>63</v>
      </c>
      <c r="Z72" s="11">
        <v>6</v>
      </c>
      <c r="AA72" s="11">
        <v>3</v>
      </c>
      <c r="AB72" s="11">
        <v>0</v>
      </c>
      <c r="AC72" s="11">
        <f t="shared" si="10"/>
        <v>9</v>
      </c>
      <c r="AD72" s="20">
        <f t="shared" si="11"/>
        <v>1.3002022536839064E-3</v>
      </c>
      <c r="AE72" s="11">
        <f t="shared" si="12"/>
        <v>1.3002022536839064</v>
      </c>
      <c r="AF72" s="11">
        <f t="shared" si="13"/>
        <v>4.3340075122796883E-2</v>
      </c>
      <c r="AG72" s="11">
        <f t="shared" si="14"/>
        <v>0</v>
      </c>
      <c r="AH72" s="11">
        <f t="shared" si="15"/>
        <v>0.5</v>
      </c>
      <c r="AI72" t="s">
        <v>63</v>
      </c>
      <c r="AJ72" t="s">
        <v>63</v>
      </c>
      <c r="AK72" t="s">
        <v>484</v>
      </c>
      <c r="AL72" t="s">
        <v>188</v>
      </c>
      <c r="AM72" t="str">
        <f t="shared" si="16"/>
        <v>Thursday</v>
      </c>
      <c r="AN72" t="s">
        <v>63</v>
      </c>
      <c r="AO72" s="31"/>
      <c r="AP72" s="31"/>
      <c r="AQ72" t="s">
        <v>63</v>
      </c>
      <c r="AR72" s="11">
        <f t="shared" si="17"/>
        <v>1.004834161407278</v>
      </c>
    </row>
    <row r="73" spans="1:44" x14ac:dyDescent="0.3">
      <c r="A73" s="8" t="s">
        <v>461</v>
      </c>
      <c r="B73" s="30"/>
      <c r="C73" s="23">
        <v>10</v>
      </c>
      <c r="D73" s="21">
        <v>6922</v>
      </c>
      <c r="E73" s="8" t="s">
        <v>42</v>
      </c>
      <c r="F73" t="s">
        <v>468</v>
      </c>
      <c r="G73">
        <v>4</v>
      </c>
      <c r="H73" s="13" t="s">
        <v>47</v>
      </c>
      <c r="I73" s="17">
        <v>45940</v>
      </c>
      <c r="J73" s="2" t="s">
        <v>48</v>
      </c>
      <c r="K73" s="19">
        <f t="shared" ca="1" si="9"/>
        <v>89</v>
      </c>
      <c r="L73" t="s">
        <v>52</v>
      </c>
      <c r="M73" t="s">
        <v>489</v>
      </c>
      <c r="N73" t="s">
        <v>58</v>
      </c>
      <c r="O73" s="11">
        <v>1</v>
      </c>
      <c r="P73" t="s">
        <v>59</v>
      </c>
      <c r="Q73" t="s">
        <v>488</v>
      </c>
      <c r="R73" s="11">
        <v>21</v>
      </c>
      <c r="S73" s="2" t="s">
        <v>61</v>
      </c>
      <c r="T73" t="s">
        <v>59</v>
      </c>
      <c r="U73" t="s">
        <v>482</v>
      </c>
      <c r="V73" t="s">
        <v>141</v>
      </c>
      <c r="W73" t="s">
        <v>76</v>
      </c>
      <c r="X73" t="s">
        <v>487</v>
      </c>
      <c r="Y73" t="s">
        <v>62</v>
      </c>
      <c r="Z73" s="11">
        <v>8</v>
      </c>
      <c r="AA73" s="11">
        <v>2</v>
      </c>
      <c r="AB73" s="11">
        <v>0</v>
      </c>
      <c r="AC73" s="11">
        <f t="shared" si="10"/>
        <v>10</v>
      </c>
      <c r="AD73" s="20">
        <f t="shared" si="11"/>
        <v>1.444669170759896E-3</v>
      </c>
      <c r="AE73" s="11">
        <f t="shared" si="12"/>
        <v>1.444669170759896</v>
      </c>
      <c r="AF73" s="11">
        <f t="shared" si="13"/>
        <v>2.8893383415197923E-2</v>
      </c>
      <c r="AG73" s="11">
        <f t="shared" si="14"/>
        <v>0</v>
      </c>
      <c r="AH73" s="11">
        <f t="shared" si="15"/>
        <v>0.25</v>
      </c>
      <c r="AI73" t="s">
        <v>63</v>
      </c>
      <c r="AJ73" t="s">
        <v>63</v>
      </c>
      <c r="AK73" t="s">
        <v>486</v>
      </c>
      <c r="AL73" t="s">
        <v>485</v>
      </c>
      <c r="AM73" t="str">
        <f t="shared" si="16"/>
        <v>Friday</v>
      </c>
      <c r="AN73" t="s">
        <v>63</v>
      </c>
      <c r="AO73" s="31"/>
      <c r="AP73" s="31"/>
      <c r="AQ73" t="s">
        <v>63</v>
      </c>
      <c r="AR73" s="11">
        <f t="shared" si="17"/>
        <v>1.0053712904525312</v>
      </c>
    </row>
    <row r="74" spans="1:44" x14ac:dyDescent="0.3">
      <c r="A74" s="8" t="s">
        <v>462</v>
      </c>
      <c r="B74" s="30" t="s">
        <v>464</v>
      </c>
      <c r="C74" s="23">
        <v>10</v>
      </c>
      <c r="D74" s="21">
        <v>37058</v>
      </c>
      <c r="E74" s="8" t="s">
        <v>42</v>
      </c>
      <c r="F74" t="s">
        <v>365</v>
      </c>
      <c r="G74">
        <v>1</v>
      </c>
      <c r="H74" s="13" t="s">
        <v>47</v>
      </c>
      <c r="I74" s="17">
        <v>46012</v>
      </c>
      <c r="J74" s="2" t="s">
        <v>89</v>
      </c>
      <c r="K74" s="19">
        <f t="shared" ca="1" si="9"/>
        <v>17</v>
      </c>
      <c r="L74" t="s">
        <v>493</v>
      </c>
      <c r="M74" t="s">
        <v>494</v>
      </c>
      <c r="N74" t="s">
        <v>58</v>
      </c>
      <c r="O74" s="11">
        <v>10</v>
      </c>
      <c r="P74" t="s">
        <v>59</v>
      </c>
      <c r="Q74" t="s">
        <v>495</v>
      </c>
      <c r="R74" s="11">
        <v>36</v>
      </c>
      <c r="S74" s="2" t="s">
        <v>75</v>
      </c>
      <c r="T74" t="s">
        <v>59</v>
      </c>
      <c r="U74" t="s">
        <v>496</v>
      </c>
      <c r="V74" s="2" t="s">
        <v>289</v>
      </c>
      <c r="W74" s="2" t="s">
        <v>142</v>
      </c>
      <c r="X74" t="s">
        <v>497</v>
      </c>
      <c r="Y74" t="s">
        <v>63</v>
      </c>
      <c r="Z74" s="11">
        <v>303</v>
      </c>
      <c r="AA74" s="11">
        <v>80</v>
      </c>
      <c r="AB74" s="11">
        <v>8</v>
      </c>
      <c r="AC74" s="11">
        <f t="shared" si="10"/>
        <v>391</v>
      </c>
      <c r="AD74" s="20">
        <f t="shared" si="11"/>
        <v>1.0551028118085164E-2</v>
      </c>
      <c r="AE74" s="11">
        <f t="shared" si="12"/>
        <v>10.551028118085163</v>
      </c>
      <c r="AF74" s="11">
        <f t="shared" si="13"/>
        <v>0.21587781315775273</v>
      </c>
      <c r="AG74" s="11">
        <f t="shared" si="14"/>
        <v>2.1587781315775271E-2</v>
      </c>
      <c r="AH74" s="11">
        <f t="shared" si="15"/>
        <v>0.264026402640264</v>
      </c>
      <c r="AI74" t="s">
        <v>63</v>
      </c>
      <c r="AJ74" t="s">
        <v>62</v>
      </c>
      <c r="AK74" t="s">
        <v>498</v>
      </c>
      <c r="AL74" t="s">
        <v>81</v>
      </c>
      <c r="AM74" t="str">
        <f t="shared" si="16"/>
        <v>Sunday</v>
      </c>
      <c r="AN74" t="s">
        <v>63</v>
      </c>
      <c r="AO74" s="31" t="s">
        <v>493</v>
      </c>
      <c r="AP74" s="31" t="s">
        <v>499</v>
      </c>
      <c r="AQ74" t="s">
        <v>63</v>
      </c>
      <c r="AR74" s="11">
        <f t="shared" si="17"/>
        <v>1.2100174566939708</v>
      </c>
    </row>
    <row r="75" spans="1:44" x14ac:dyDescent="0.3">
      <c r="A75" s="8" t="s">
        <v>462</v>
      </c>
      <c r="B75" s="30"/>
      <c r="C75" s="23">
        <v>10</v>
      </c>
      <c r="D75" s="21">
        <v>37058</v>
      </c>
      <c r="E75" s="8" t="s">
        <v>42</v>
      </c>
      <c r="F75" t="s">
        <v>490</v>
      </c>
      <c r="G75">
        <v>2</v>
      </c>
      <c r="H75" s="13" t="s">
        <v>47</v>
      </c>
      <c r="I75" s="17">
        <v>46012</v>
      </c>
      <c r="J75" s="2" t="s">
        <v>89</v>
      </c>
      <c r="K75" s="19">
        <f t="shared" ca="1" si="9"/>
        <v>17</v>
      </c>
      <c r="L75" t="s">
        <v>493</v>
      </c>
      <c r="M75" t="s">
        <v>494</v>
      </c>
      <c r="N75" t="s">
        <v>58</v>
      </c>
      <c r="O75" s="11">
        <v>10</v>
      </c>
      <c r="P75" t="s">
        <v>59</v>
      </c>
      <c r="Q75" t="s">
        <v>495</v>
      </c>
      <c r="R75" s="11">
        <v>36</v>
      </c>
      <c r="S75" s="2" t="s">
        <v>75</v>
      </c>
      <c r="T75" t="s">
        <v>59</v>
      </c>
      <c r="U75" t="s">
        <v>496</v>
      </c>
      <c r="V75" s="2" t="s">
        <v>289</v>
      </c>
      <c r="W75" s="2" t="s">
        <v>142</v>
      </c>
      <c r="X75" t="s">
        <v>497</v>
      </c>
      <c r="Y75" t="s">
        <v>63</v>
      </c>
      <c r="Z75" s="11">
        <v>303</v>
      </c>
      <c r="AA75" s="11">
        <v>80</v>
      </c>
      <c r="AB75" s="11">
        <v>8</v>
      </c>
      <c r="AC75" s="11">
        <f t="shared" si="10"/>
        <v>391</v>
      </c>
      <c r="AD75" s="20">
        <f t="shared" si="11"/>
        <v>1.0551028118085164E-2</v>
      </c>
      <c r="AE75" s="11">
        <f t="shared" si="12"/>
        <v>10.551028118085163</v>
      </c>
      <c r="AF75" s="11">
        <f t="shared" si="13"/>
        <v>0.21587781315775273</v>
      </c>
      <c r="AG75" s="11">
        <f t="shared" si="14"/>
        <v>2.1587781315775271E-2</v>
      </c>
      <c r="AH75" s="11">
        <f t="shared" si="15"/>
        <v>0.264026402640264</v>
      </c>
      <c r="AI75" t="s">
        <v>63</v>
      </c>
      <c r="AJ75" t="s">
        <v>62</v>
      </c>
      <c r="AK75" t="s">
        <v>498</v>
      </c>
      <c r="AL75" t="s">
        <v>81</v>
      </c>
      <c r="AM75" t="str">
        <f t="shared" si="16"/>
        <v>Sunday</v>
      </c>
      <c r="AN75" t="s">
        <v>63</v>
      </c>
      <c r="AO75" s="31"/>
      <c r="AP75" s="31"/>
      <c r="AQ75" t="s">
        <v>63</v>
      </c>
      <c r="AR75" s="11">
        <f t="shared" si="17"/>
        <v>1.2100174566939708</v>
      </c>
    </row>
    <row r="76" spans="1:44" x14ac:dyDescent="0.3">
      <c r="A76" s="8" t="s">
        <v>462</v>
      </c>
      <c r="B76" s="30"/>
      <c r="C76" s="23">
        <v>10</v>
      </c>
      <c r="D76" s="21">
        <v>37058</v>
      </c>
      <c r="E76" s="8" t="s">
        <v>42</v>
      </c>
      <c r="F76" t="s">
        <v>491</v>
      </c>
      <c r="G76">
        <v>3</v>
      </c>
      <c r="H76" s="13" t="s">
        <v>47</v>
      </c>
      <c r="I76" s="17">
        <v>46011</v>
      </c>
      <c r="J76" s="2" t="s">
        <v>89</v>
      </c>
      <c r="K76" s="19">
        <f t="shared" ca="1" si="9"/>
        <v>18</v>
      </c>
      <c r="L76" t="s">
        <v>499</v>
      </c>
      <c r="M76" t="s">
        <v>500</v>
      </c>
      <c r="N76" t="s">
        <v>58</v>
      </c>
      <c r="O76" s="11">
        <v>10</v>
      </c>
      <c r="P76" t="s">
        <v>59</v>
      </c>
      <c r="Q76" t="s">
        <v>501</v>
      </c>
      <c r="R76" s="11">
        <v>21</v>
      </c>
      <c r="S76" s="2" t="s">
        <v>61</v>
      </c>
      <c r="T76" t="s">
        <v>59</v>
      </c>
      <c r="U76" t="s">
        <v>502</v>
      </c>
      <c r="V76" t="s">
        <v>141</v>
      </c>
      <c r="W76" t="s">
        <v>76</v>
      </c>
      <c r="X76" t="s">
        <v>503</v>
      </c>
      <c r="Y76" t="s">
        <v>63</v>
      </c>
      <c r="Z76" s="11">
        <v>161</v>
      </c>
      <c r="AA76" s="11">
        <v>47</v>
      </c>
      <c r="AB76" s="11">
        <v>3</v>
      </c>
      <c r="AC76" s="11">
        <f t="shared" si="10"/>
        <v>211</v>
      </c>
      <c r="AD76" s="20">
        <f t="shared" si="11"/>
        <v>5.6937773220357276E-3</v>
      </c>
      <c r="AE76" s="11">
        <f t="shared" si="12"/>
        <v>5.6937773220357277</v>
      </c>
      <c r="AF76" s="11">
        <f t="shared" si="13"/>
        <v>0.12682821523017973</v>
      </c>
      <c r="AG76" s="11">
        <f t="shared" si="14"/>
        <v>8.095417993415727E-3</v>
      </c>
      <c r="AH76" s="11">
        <f t="shared" si="15"/>
        <v>0.29192546583850931</v>
      </c>
      <c r="AI76" t="s">
        <v>63</v>
      </c>
      <c r="AJ76" t="s">
        <v>62</v>
      </c>
      <c r="AK76" t="s">
        <v>504</v>
      </c>
      <c r="AL76" t="s">
        <v>505</v>
      </c>
      <c r="AM76" t="str">
        <f t="shared" si="16"/>
        <v>Saturday</v>
      </c>
      <c r="AN76" t="s">
        <v>63</v>
      </c>
      <c r="AO76" s="31"/>
      <c r="AP76" s="31"/>
      <c r="AQ76" t="s">
        <v>63</v>
      </c>
      <c r="AR76" s="11">
        <f t="shared" si="17"/>
        <v>1.1133342285484087</v>
      </c>
    </row>
    <row r="77" spans="1:44" x14ac:dyDescent="0.3">
      <c r="A77" s="8" t="s">
        <v>462</v>
      </c>
      <c r="B77" s="30"/>
      <c r="C77" s="23">
        <v>10</v>
      </c>
      <c r="D77" s="21">
        <v>37058</v>
      </c>
      <c r="E77" s="8" t="s">
        <v>42</v>
      </c>
      <c r="F77" t="s">
        <v>492</v>
      </c>
      <c r="G77">
        <v>4</v>
      </c>
      <c r="H77" s="13" t="s">
        <v>47</v>
      </c>
      <c r="I77" s="17">
        <v>46011</v>
      </c>
      <c r="J77" s="2" t="s">
        <v>89</v>
      </c>
      <c r="K77" s="19">
        <f t="shared" ca="1" si="9"/>
        <v>18</v>
      </c>
      <c r="L77" t="s">
        <v>493</v>
      </c>
      <c r="M77" t="s">
        <v>500</v>
      </c>
      <c r="N77" t="s">
        <v>58</v>
      </c>
      <c r="O77" s="11">
        <v>10</v>
      </c>
      <c r="P77" t="s">
        <v>59</v>
      </c>
      <c r="Q77" t="s">
        <v>506</v>
      </c>
      <c r="R77" s="11">
        <v>22</v>
      </c>
      <c r="S77" s="2" t="s">
        <v>61</v>
      </c>
      <c r="T77" t="s">
        <v>59</v>
      </c>
      <c r="U77" t="s">
        <v>507</v>
      </c>
      <c r="V77" t="s">
        <v>141</v>
      </c>
      <c r="W77" t="s">
        <v>76</v>
      </c>
      <c r="X77" t="s">
        <v>503</v>
      </c>
      <c r="Y77" t="s">
        <v>62</v>
      </c>
      <c r="Z77" s="11">
        <v>161</v>
      </c>
      <c r="AA77" s="11">
        <v>47</v>
      </c>
      <c r="AB77" s="11">
        <v>3</v>
      </c>
      <c r="AC77" s="11">
        <f t="shared" si="10"/>
        <v>211</v>
      </c>
      <c r="AD77" s="20">
        <f t="shared" si="11"/>
        <v>5.6937773220357276E-3</v>
      </c>
      <c r="AE77" s="11">
        <f t="shared" si="12"/>
        <v>5.6937773220357277</v>
      </c>
      <c r="AF77" s="11">
        <f t="shared" si="13"/>
        <v>0.12682821523017973</v>
      </c>
      <c r="AG77" s="11">
        <f t="shared" si="14"/>
        <v>8.095417993415727E-3</v>
      </c>
      <c r="AH77" s="11">
        <f t="shared" si="15"/>
        <v>0.29192546583850931</v>
      </c>
      <c r="AI77" t="s">
        <v>63</v>
      </c>
      <c r="AJ77" t="s">
        <v>63</v>
      </c>
      <c r="AK77" t="s">
        <v>508</v>
      </c>
      <c r="AL77" t="s">
        <v>509</v>
      </c>
      <c r="AM77" t="str">
        <f t="shared" si="16"/>
        <v>Saturday</v>
      </c>
      <c r="AN77" t="s">
        <v>63</v>
      </c>
      <c r="AO77" s="31"/>
      <c r="AP77" s="31"/>
      <c r="AQ77" t="s">
        <v>63</v>
      </c>
      <c r="AR77" s="11">
        <f t="shared" si="17"/>
        <v>1.1133342285484087</v>
      </c>
    </row>
    <row r="78" spans="1:44" x14ac:dyDescent="0.3">
      <c r="A78" s="8" t="s">
        <v>510</v>
      </c>
      <c r="B78" s="30" t="s">
        <v>511</v>
      </c>
      <c r="C78" s="23">
        <v>10</v>
      </c>
      <c r="D78" s="21">
        <v>44030</v>
      </c>
      <c r="E78" s="8" t="s">
        <v>42</v>
      </c>
      <c r="F78" t="s">
        <v>512</v>
      </c>
      <c r="G78">
        <v>1</v>
      </c>
      <c r="H78" s="13" t="s">
        <v>47</v>
      </c>
      <c r="I78" s="17">
        <v>46012</v>
      </c>
      <c r="J78" s="2" t="s">
        <v>89</v>
      </c>
      <c r="K78" s="19">
        <f t="shared" ca="1" si="9"/>
        <v>17</v>
      </c>
      <c r="L78" t="s">
        <v>493</v>
      </c>
      <c r="M78" t="s">
        <v>522</v>
      </c>
      <c r="N78" t="s">
        <v>58</v>
      </c>
      <c r="O78" s="11">
        <v>8</v>
      </c>
      <c r="P78" t="s">
        <v>59</v>
      </c>
      <c r="Q78" t="s">
        <v>523</v>
      </c>
      <c r="R78" s="11">
        <v>20</v>
      </c>
      <c r="S78" s="2" t="s">
        <v>61</v>
      </c>
      <c r="T78" t="s">
        <v>59</v>
      </c>
      <c r="U78" t="s">
        <v>524</v>
      </c>
      <c r="V78" t="s">
        <v>141</v>
      </c>
      <c r="W78" t="s">
        <v>76</v>
      </c>
      <c r="X78" t="s">
        <v>525</v>
      </c>
      <c r="Y78" t="s">
        <v>62</v>
      </c>
      <c r="Z78" s="11">
        <v>17</v>
      </c>
      <c r="AA78" s="11">
        <v>0</v>
      </c>
      <c r="AB78" s="11">
        <v>4</v>
      </c>
      <c r="AC78" s="11">
        <f t="shared" si="10"/>
        <v>21</v>
      </c>
      <c r="AD78" s="20">
        <f t="shared" si="11"/>
        <v>4.7694753577106518E-4</v>
      </c>
      <c r="AE78" s="11">
        <f t="shared" si="12"/>
        <v>0.47694753577106519</v>
      </c>
      <c r="AF78" s="11">
        <f t="shared" si="13"/>
        <v>0</v>
      </c>
      <c r="AG78" s="11">
        <f t="shared" si="14"/>
        <v>9.0847149670679091E-3</v>
      </c>
      <c r="AH78" s="11">
        <f t="shared" si="15"/>
        <v>0</v>
      </c>
      <c r="AI78" t="s">
        <v>63</v>
      </c>
      <c r="AJ78" t="s">
        <v>63</v>
      </c>
      <c r="AK78" t="s">
        <v>526</v>
      </c>
      <c r="AL78" t="s">
        <v>437</v>
      </c>
      <c r="AM78" t="str">
        <f t="shared" si="16"/>
        <v>Sunday</v>
      </c>
      <c r="AN78" t="s">
        <v>63</v>
      </c>
      <c r="AO78" s="31" t="s">
        <v>493</v>
      </c>
      <c r="AP78" s="31" t="s">
        <v>78</v>
      </c>
      <c r="AQ78" t="s">
        <v>62</v>
      </c>
      <c r="AR78" s="11">
        <f t="shared" si="17"/>
        <v>1.0112797099503155</v>
      </c>
    </row>
    <row r="79" spans="1:44" x14ac:dyDescent="0.3">
      <c r="A79" s="8" t="s">
        <v>510</v>
      </c>
      <c r="B79" s="30"/>
      <c r="C79" s="23">
        <v>10</v>
      </c>
      <c r="D79" s="21">
        <v>44030</v>
      </c>
      <c r="E79" s="8" t="s">
        <v>42</v>
      </c>
      <c r="F79" t="s">
        <v>513</v>
      </c>
      <c r="G79">
        <v>2</v>
      </c>
      <c r="H79" s="13" t="s">
        <v>47</v>
      </c>
      <c r="I79" s="17">
        <v>46011</v>
      </c>
      <c r="J79" s="2" t="s">
        <v>89</v>
      </c>
      <c r="K79" s="19">
        <f t="shared" ca="1" si="9"/>
        <v>18</v>
      </c>
      <c r="L79" t="s">
        <v>493</v>
      </c>
      <c r="M79" t="s">
        <v>522</v>
      </c>
      <c r="N79" t="s">
        <v>58</v>
      </c>
      <c r="O79" s="11">
        <v>8</v>
      </c>
      <c r="P79" t="s">
        <v>59</v>
      </c>
      <c r="Q79" t="s">
        <v>527</v>
      </c>
      <c r="R79" s="11">
        <v>11</v>
      </c>
      <c r="S79" s="2" t="s">
        <v>61</v>
      </c>
      <c r="T79" t="s">
        <v>59</v>
      </c>
      <c r="U79" t="s">
        <v>528</v>
      </c>
      <c r="V79" t="s">
        <v>141</v>
      </c>
      <c r="W79" t="s">
        <v>76</v>
      </c>
      <c r="X79" t="s">
        <v>529</v>
      </c>
      <c r="Y79" t="s">
        <v>62</v>
      </c>
      <c r="Z79" s="11">
        <v>20</v>
      </c>
      <c r="AA79" s="11">
        <v>3</v>
      </c>
      <c r="AB79" s="11">
        <v>1</v>
      </c>
      <c r="AC79" s="11">
        <f t="shared" si="10"/>
        <v>24</v>
      </c>
      <c r="AD79" s="20">
        <f t="shared" si="11"/>
        <v>5.4508289802407449E-4</v>
      </c>
      <c r="AE79" s="11">
        <f t="shared" si="12"/>
        <v>0.5450828980240745</v>
      </c>
      <c r="AF79" s="11">
        <f t="shared" si="13"/>
        <v>6.8135362253009309E-3</v>
      </c>
      <c r="AG79" s="11">
        <f t="shared" si="14"/>
        <v>2.2711787417669773E-3</v>
      </c>
      <c r="AH79" s="11">
        <f t="shared" si="15"/>
        <v>0.15</v>
      </c>
      <c r="AI79" t="s">
        <v>62</v>
      </c>
      <c r="AJ79" t="s">
        <v>63</v>
      </c>
      <c r="AK79" t="s">
        <v>530</v>
      </c>
      <c r="AL79" t="s">
        <v>531</v>
      </c>
      <c r="AM79" t="str">
        <f t="shared" si="16"/>
        <v>Saturday</v>
      </c>
      <c r="AN79" t="s">
        <v>63</v>
      </c>
      <c r="AO79" s="31"/>
      <c r="AP79" s="31"/>
      <c r="AQ79" t="s">
        <v>62</v>
      </c>
      <c r="AR79" s="11">
        <f t="shared" si="17"/>
        <v>1.0128910970860749</v>
      </c>
    </row>
    <row r="80" spans="1:44" x14ac:dyDescent="0.3">
      <c r="A80" s="8" t="s">
        <v>510</v>
      </c>
      <c r="B80" s="30"/>
      <c r="C80" s="23">
        <v>10</v>
      </c>
      <c r="D80" s="21">
        <v>44030</v>
      </c>
      <c r="E80" s="8" t="s">
        <v>42</v>
      </c>
      <c r="F80" t="s">
        <v>514</v>
      </c>
      <c r="G80">
        <v>3</v>
      </c>
      <c r="H80" s="13" t="s">
        <v>47</v>
      </c>
      <c r="I80" s="17">
        <v>46011</v>
      </c>
      <c r="J80" s="2" t="s">
        <v>89</v>
      </c>
      <c r="K80" s="19">
        <f t="shared" ca="1" si="9"/>
        <v>18</v>
      </c>
      <c r="L80" t="s">
        <v>78</v>
      </c>
      <c r="M80" t="s">
        <v>532</v>
      </c>
      <c r="N80" t="s">
        <v>58</v>
      </c>
      <c r="O80" s="11">
        <v>3</v>
      </c>
      <c r="P80" t="s">
        <v>59</v>
      </c>
      <c r="Q80" t="s">
        <v>517</v>
      </c>
      <c r="R80" s="11">
        <v>13</v>
      </c>
      <c r="S80" s="2" t="s">
        <v>99</v>
      </c>
      <c r="T80" t="s">
        <v>59</v>
      </c>
      <c r="U80" t="s">
        <v>533</v>
      </c>
      <c r="V80" t="s">
        <v>141</v>
      </c>
      <c r="W80" t="s">
        <v>76</v>
      </c>
      <c r="X80" t="s">
        <v>534</v>
      </c>
      <c r="Y80" t="s">
        <v>63</v>
      </c>
      <c r="Z80" s="11">
        <v>3</v>
      </c>
      <c r="AA80" s="11">
        <v>0</v>
      </c>
      <c r="AB80" s="11">
        <v>0</v>
      </c>
      <c r="AC80" s="11">
        <f t="shared" si="10"/>
        <v>3</v>
      </c>
      <c r="AD80" s="20">
        <f t="shared" si="11"/>
        <v>6.8135362253009312E-5</v>
      </c>
      <c r="AE80" s="11">
        <f t="shared" si="12"/>
        <v>6.8135362253009313E-2</v>
      </c>
      <c r="AF80" s="11">
        <f t="shared" si="13"/>
        <v>0</v>
      </c>
      <c r="AG80" s="11">
        <f t="shared" si="14"/>
        <v>0</v>
      </c>
      <c r="AH80" s="11">
        <f t="shared" si="15"/>
        <v>0</v>
      </c>
      <c r="AI80" t="s">
        <v>62</v>
      </c>
      <c r="AJ80" t="s">
        <v>63</v>
      </c>
      <c r="AK80" t="s">
        <v>535</v>
      </c>
      <c r="AL80" t="s">
        <v>536</v>
      </c>
      <c r="AM80" t="str">
        <f t="shared" si="16"/>
        <v>Saturday</v>
      </c>
      <c r="AN80" t="s">
        <v>63</v>
      </c>
      <c r="AO80" s="31"/>
      <c r="AP80" s="31"/>
      <c r="AQ80" t="s">
        <v>62</v>
      </c>
      <c r="AR80" s="11">
        <f t="shared" si="17"/>
        <v>1.0016113871357593</v>
      </c>
    </row>
    <row r="81" spans="1:44" x14ac:dyDescent="0.3">
      <c r="A81" s="8" t="s">
        <v>510</v>
      </c>
      <c r="B81" s="30"/>
      <c r="C81" s="23">
        <v>10</v>
      </c>
      <c r="D81" s="21">
        <v>44030</v>
      </c>
      <c r="E81" s="8" t="s">
        <v>42</v>
      </c>
      <c r="F81" t="s">
        <v>515</v>
      </c>
      <c r="G81">
        <v>4</v>
      </c>
      <c r="H81" s="13" t="s">
        <v>47</v>
      </c>
      <c r="I81" s="17">
        <v>46011</v>
      </c>
      <c r="J81" s="2" t="s">
        <v>89</v>
      </c>
      <c r="K81" s="19">
        <f t="shared" ca="1" si="9"/>
        <v>18</v>
      </c>
      <c r="L81" t="s">
        <v>493</v>
      </c>
      <c r="M81" t="s">
        <v>516</v>
      </c>
      <c r="N81" t="s">
        <v>58</v>
      </c>
      <c r="O81" s="11">
        <v>1</v>
      </c>
      <c r="P81" t="s">
        <v>59</v>
      </c>
      <c r="Q81" t="s">
        <v>517</v>
      </c>
      <c r="R81" s="11">
        <v>13</v>
      </c>
      <c r="S81" s="2" t="s">
        <v>61</v>
      </c>
      <c r="T81" t="s">
        <v>63</v>
      </c>
      <c r="U81" t="s">
        <v>518</v>
      </c>
      <c r="V81" t="s">
        <v>141</v>
      </c>
      <c r="W81" t="s">
        <v>76</v>
      </c>
      <c r="X81" t="s">
        <v>519</v>
      </c>
      <c r="Y81" t="s">
        <v>62</v>
      </c>
      <c r="Z81" s="11">
        <v>13</v>
      </c>
      <c r="AA81" s="11">
        <v>5</v>
      </c>
      <c r="AB81" s="11">
        <v>0</v>
      </c>
      <c r="AC81" s="11">
        <f t="shared" si="10"/>
        <v>18</v>
      </c>
      <c r="AD81" s="20">
        <f t="shared" si="11"/>
        <v>4.0881217351805587E-4</v>
      </c>
      <c r="AE81" s="11">
        <f t="shared" si="12"/>
        <v>0.40881217351805588</v>
      </c>
      <c r="AF81" s="11">
        <f t="shared" si="13"/>
        <v>1.1355893708834885E-2</v>
      </c>
      <c r="AG81" s="11">
        <f t="shared" si="14"/>
        <v>0</v>
      </c>
      <c r="AH81" s="11">
        <f t="shared" si="15"/>
        <v>0.38461538461538464</v>
      </c>
      <c r="AI81" t="s">
        <v>62</v>
      </c>
      <c r="AJ81" t="s">
        <v>63</v>
      </c>
      <c r="AK81" t="s">
        <v>520</v>
      </c>
      <c r="AL81" t="s">
        <v>521</v>
      </c>
      <c r="AM81" t="str">
        <f t="shared" si="16"/>
        <v>Saturday</v>
      </c>
      <c r="AN81" t="s">
        <v>63</v>
      </c>
      <c r="AO81" s="31"/>
      <c r="AP81" s="31"/>
      <c r="AQ81" t="s">
        <v>62</v>
      </c>
      <c r="AR81" s="11">
        <f t="shared" si="17"/>
        <v>1.0096683228145562</v>
      </c>
    </row>
    <row r="82" spans="1:44" x14ac:dyDescent="0.3">
      <c r="A82" s="8" t="s">
        <v>537</v>
      </c>
      <c r="B82" s="30" t="s">
        <v>538</v>
      </c>
      <c r="C82" s="23">
        <v>1</v>
      </c>
      <c r="D82" s="21">
        <v>6520</v>
      </c>
      <c r="E82" s="8" t="s">
        <v>42</v>
      </c>
      <c r="F82" t="s">
        <v>547</v>
      </c>
      <c r="G82">
        <v>1</v>
      </c>
      <c r="H82" s="13" t="s">
        <v>47</v>
      </c>
      <c r="I82" s="17">
        <v>46010</v>
      </c>
      <c r="J82" s="2" t="s">
        <v>89</v>
      </c>
      <c r="K82" s="19">
        <f t="shared" ca="1" si="9"/>
        <v>19</v>
      </c>
      <c r="L82" s="2" t="s">
        <v>90</v>
      </c>
      <c r="M82" t="s">
        <v>286</v>
      </c>
      <c r="N82" t="s">
        <v>58</v>
      </c>
      <c r="O82" s="11">
        <v>1</v>
      </c>
      <c r="P82" t="s">
        <v>59</v>
      </c>
      <c r="Q82" t="s">
        <v>551</v>
      </c>
      <c r="R82" s="11">
        <v>7</v>
      </c>
      <c r="S82" s="2" t="s">
        <v>61</v>
      </c>
      <c r="T82" t="s">
        <v>59</v>
      </c>
      <c r="U82" t="s">
        <v>552</v>
      </c>
      <c r="V82" t="s">
        <v>141</v>
      </c>
      <c r="W82" s="2" t="s">
        <v>142</v>
      </c>
      <c r="X82" t="s">
        <v>106</v>
      </c>
      <c r="Y82" t="s">
        <v>62</v>
      </c>
      <c r="Z82" s="11">
        <v>12</v>
      </c>
      <c r="AA82" s="11">
        <v>0</v>
      </c>
      <c r="AB82" s="11">
        <v>0</v>
      </c>
      <c r="AC82" s="11">
        <f t="shared" si="10"/>
        <v>12</v>
      </c>
      <c r="AD82" s="20">
        <f t="shared" si="11"/>
        <v>1.8404907975460123E-3</v>
      </c>
      <c r="AE82" s="11">
        <f t="shared" si="12"/>
        <v>1.8404907975460123</v>
      </c>
      <c r="AF82" s="11">
        <f t="shared" si="13"/>
        <v>0</v>
      </c>
      <c r="AG82" s="11">
        <f t="shared" si="14"/>
        <v>0</v>
      </c>
      <c r="AH82" s="11">
        <f t="shared" si="15"/>
        <v>0</v>
      </c>
      <c r="AI82" t="s">
        <v>63</v>
      </c>
      <c r="AJ82" t="s">
        <v>62</v>
      </c>
      <c r="AK82" t="s">
        <v>553</v>
      </c>
      <c r="AL82" t="s">
        <v>554</v>
      </c>
      <c r="AM82" t="str">
        <f t="shared" si="16"/>
        <v>Friday</v>
      </c>
      <c r="AN82" t="s">
        <v>63</v>
      </c>
      <c r="AO82" s="31" t="s">
        <v>90</v>
      </c>
      <c r="AP82" s="31" t="s">
        <v>55</v>
      </c>
      <c r="AQ82" t="s">
        <v>63</v>
      </c>
      <c r="AR82" s="11">
        <f t="shared" si="17"/>
        <v>1.0064455485430375</v>
      </c>
    </row>
    <row r="83" spans="1:44" x14ac:dyDescent="0.3">
      <c r="A83" s="8" t="s">
        <v>537</v>
      </c>
      <c r="B83" s="30"/>
      <c r="C83" s="23">
        <v>1</v>
      </c>
      <c r="D83" s="21">
        <v>6520</v>
      </c>
      <c r="E83" s="8" t="s">
        <v>42</v>
      </c>
      <c r="F83" t="s">
        <v>548</v>
      </c>
      <c r="G83">
        <v>2</v>
      </c>
      <c r="H83" s="13" t="s">
        <v>47</v>
      </c>
      <c r="I83" s="17">
        <v>46010</v>
      </c>
      <c r="J83" s="2" t="s">
        <v>89</v>
      </c>
      <c r="K83" s="19">
        <f t="shared" ca="1" si="9"/>
        <v>19</v>
      </c>
      <c r="L83" s="2" t="s">
        <v>90</v>
      </c>
      <c r="M83" t="s">
        <v>286</v>
      </c>
      <c r="N83" t="s">
        <v>176</v>
      </c>
      <c r="O83" s="11">
        <v>1</v>
      </c>
      <c r="P83" t="s">
        <v>59</v>
      </c>
      <c r="Q83" t="s">
        <v>551</v>
      </c>
      <c r="R83" s="11">
        <v>6</v>
      </c>
      <c r="S83" s="2" t="s">
        <v>61</v>
      </c>
      <c r="T83" t="s">
        <v>59</v>
      </c>
      <c r="U83" t="s">
        <v>555</v>
      </c>
      <c r="V83" t="s">
        <v>141</v>
      </c>
      <c r="W83" s="2" t="s">
        <v>142</v>
      </c>
      <c r="X83" t="s">
        <v>556</v>
      </c>
      <c r="Y83" t="s">
        <v>62</v>
      </c>
      <c r="Z83" s="11">
        <v>13</v>
      </c>
      <c r="AA83" s="11">
        <v>12</v>
      </c>
      <c r="AB83" s="11">
        <v>0</v>
      </c>
      <c r="AC83" s="11">
        <f t="shared" si="10"/>
        <v>25</v>
      </c>
      <c r="AD83" s="20">
        <f t="shared" si="11"/>
        <v>3.8343558282208589E-3</v>
      </c>
      <c r="AE83" s="11">
        <f t="shared" si="12"/>
        <v>3.834355828220859</v>
      </c>
      <c r="AF83" s="11">
        <f t="shared" si="13"/>
        <v>0.18404907975460122</v>
      </c>
      <c r="AG83" s="11">
        <f t="shared" si="14"/>
        <v>0</v>
      </c>
      <c r="AH83" s="11">
        <f t="shared" si="15"/>
        <v>0.92307692307692313</v>
      </c>
      <c r="AI83" t="s">
        <v>63</v>
      </c>
      <c r="AJ83" t="s">
        <v>62</v>
      </c>
      <c r="AK83" t="s">
        <v>553</v>
      </c>
      <c r="AL83" t="s">
        <v>557</v>
      </c>
      <c r="AM83" t="str">
        <f t="shared" si="16"/>
        <v>Friday</v>
      </c>
      <c r="AN83" t="s">
        <v>63</v>
      </c>
      <c r="AO83" s="31"/>
      <c r="AP83" s="31"/>
      <c r="AQ83" t="s">
        <v>63</v>
      </c>
      <c r="AR83" s="11">
        <f t="shared" si="17"/>
        <v>1.0134282261313281</v>
      </c>
    </row>
    <row r="84" spans="1:44" x14ac:dyDescent="0.3">
      <c r="A84" s="8" t="s">
        <v>537</v>
      </c>
      <c r="B84" s="30"/>
      <c r="C84" s="23">
        <v>1</v>
      </c>
      <c r="D84" s="21">
        <v>6520</v>
      </c>
      <c r="E84" s="8" t="s">
        <v>42</v>
      </c>
      <c r="F84" t="s">
        <v>549</v>
      </c>
      <c r="G84">
        <v>3</v>
      </c>
      <c r="H84" s="13" t="s">
        <v>47</v>
      </c>
      <c r="I84" s="17">
        <v>46009</v>
      </c>
      <c r="J84" s="2" t="s">
        <v>89</v>
      </c>
      <c r="K84" s="19">
        <f t="shared" ca="1" si="9"/>
        <v>20</v>
      </c>
      <c r="L84" s="2" t="s">
        <v>90</v>
      </c>
      <c r="M84" t="s">
        <v>286</v>
      </c>
      <c r="N84" t="s">
        <v>176</v>
      </c>
      <c r="O84" s="11">
        <v>1</v>
      </c>
      <c r="P84" t="s">
        <v>59</v>
      </c>
      <c r="Q84" t="s">
        <v>558</v>
      </c>
      <c r="R84" s="11">
        <v>6</v>
      </c>
      <c r="S84" s="2" t="s">
        <v>61</v>
      </c>
      <c r="T84" t="s">
        <v>59</v>
      </c>
      <c r="U84" t="s">
        <v>559</v>
      </c>
      <c r="V84" t="s">
        <v>141</v>
      </c>
      <c r="W84" s="2" t="s">
        <v>142</v>
      </c>
      <c r="X84" t="s">
        <v>560</v>
      </c>
      <c r="Y84" t="s">
        <v>62</v>
      </c>
      <c r="Z84" s="11">
        <v>19</v>
      </c>
      <c r="AA84" s="11">
        <v>14</v>
      </c>
      <c r="AB84" s="11">
        <v>0</v>
      </c>
      <c r="AC84" s="11">
        <f t="shared" si="10"/>
        <v>33</v>
      </c>
      <c r="AD84" s="20">
        <f t="shared" si="11"/>
        <v>5.061349693251534E-3</v>
      </c>
      <c r="AE84" s="11">
        <f t="shared" si="12"/>
        <v>5.0613496932515343</v>
      </c>
      <c r="AF84" s="11">
        <f t="shared" si="13"/>
        <v>0.21472392638036811</v>
      </c>
      <c r="AG84" s="11">
        <f t="shared" si="14"/>
        <v>0</v>
      </c>
      <c r="AH84" s="11">
        <f t="shared" si="15"/>
        <v>0.73684210526315785</v>
      </c>
      <c r="AI84" t="s">
        <v>63</v>
      </c>
      <c r="AJ84" t="s">
        <v>62</v>
      </c>
      <c r="AK84" t="s">
        <v>561</v>
      </c>
      <c r="AL84" t="s">
        <v>562</v>
      </c>
      <c r="AM84" t="str">
        <f t="shared" si="16"/>
        <v>Thursday</v>
      </c>
      <c r="AN84" t="s">
        <v>63</v>
      </c>
      <c r="AO84" s="31"/>
      <c r="AP84" s="31"/>
      <c r="AQ84" t="s">
        <v>63</v>
      </c>
      <c r="AR84" s="11">
        <f t="shared" si="17"/>
        <v>1.0177252584933529</v>
      </c>
    </row>
    <row r="85" spans="1:44" x14ac:dyDescent="0.3">
      <c r="A85" s="8" t="s">
        <v>537</v>
      </c>
      <c r="B85" s="30"/>
      <c r="C85" s="23">
        <v>1</v>
      </c>
      <c r="D85" s="21">
        <v>6520</v>
      </c>
      <c r="E85" s="8" t="s">
        <v>42</v>
      </c>
      <c r="F85" t="s">
        <v>550</v>
      </c>
      <c r="G85">
        <v>4</v>
      </c>
      <c r="H85" s="13" t="s">
        <v>47</v>
      </c>
      <c r="I85" s="17">
        <v>46008</v>
      </c>
      <c r="J85" s="2" t="s">
        <v>89</v>
      </c>
      <c r="K85" s="19">
        <f t="shared" ca="1" si="9"/>
        <v>21</v>
      </c>
      <c r="L85" s="2" t="s">
        <v>90</v>
      </c>
      <c r="M85" t="s">
        <v>286</v>
      </c>
      <c r="N85" t="s">
        <v>58</v>
      </c>
      <c r="O85" s="11">
        <v>1</v>
      </c>
      <c r="P85" t="s">
        <v>59</v>
      </c>
      <c r="Q85" t="s">
        <v>563</v>
      </c>
      <c r="R85" s="11">
        <v>14</v>
      </c>
      <c r="S85" s="2" t="s">
        <v>61</v>
      </c>
      <c r="T85" t="s">
        <v>59</v>
      </c>
      <c r="U85" t="s">
        <v>564</v>
      </c>
      <c r="V85" t="s">
        <v>141</v>
      </c>
      <c r="W85" s="2" t="s">
        <v>142</v>
      </c>
      <c r="X85" t="s">
        <v>565</v>
      </c>
      <c r="Y85" t="s">
        <v>62</v>
      </c>
      <c r="Z85" s="11">
        <v>16</v>
      </c>
      <c r="AA85" s="11">
        <v>6</v>
      </c>
      <c r="AB85" s="11">
        <v>0</v>
      </c>
      <c r="AC85" s="11">
        <f t="shared" si="10"/>
        <v>22</v>
      </c>
      <c r="AD85" s="20">
        <f t="shared" si="11"/>
        <v>3.3742331288343559E-3</v>
      </c>
      <c r="AE85" s="11">
        <f t="shared" si="12"/>
        <v>3.3742331288343559</v>
      </c>
      <c r="AF85" s="11">
        <f t="shared" si="13"/>
        <v>9.202453987730061E-2</v>
      </c>
      <c r="AG85" s="11">
        <f t="shared" si="14"/>
        <v>0</v>
      </c>
      <c r="AH85" s="11">
        <f t="shared" si="15"/>
        <v>0.375</v>
      </c>
      <c r="AI85" t="s">
        <v>62</v>
      </c>
      <c r="AJ85" t="s">
        <v>62</v>
      </c>
      <c r="AK85" t="s">
        <v>566</v>
      </c>
      <c r="AL85" t="s">
        <v>567</v>
      </c>
      <c r="AM85" t="str">
        <f t="shared" si="16"/>
        <v>Wednesday</v>
      </c>
      <c r="AN85" t="s">
        <v>63</v>
      </c>
      <c r="AO85" s="31"/>
      <c r="AP85" s="31"/>
      <c r="AQ85" t="s">
        <v>63</v>
      </c>
      <c r="AR85" s="11">
        <f t="shared" si="17"/>
        <v>1.0118168389955686</v>
      </c>
    </row>
    <row r="86" spans="1:44" x14ac:dyDescent="0.3">
      <c r="A86" s="8" t="s">
        <v>539</v>
      </c>
      <c r="B86" s="30" t="s">
        <v>540</v>
      </c>
      <c r="C86" s="23">
        <v>50</v>
      </c>
      <c r="D86" s="21">
        <v>11919</v>
      </c>
      <c r="E86" s="8" t="s">
        <v>42</v>
      </c>
      <c r="F86" t="s">
        <v>568</v>
      </c>
      <c r="G86">
        <v>1</v>
      </c>
      <c r="H86" s="13" t="s">
        <v>47</v>
      </c>
      <c r="I86" s="17">
        <v>46011</v>
      </c>
      <c r="J86" s="2" t="s">
        <v>48</v>
      </c>
      <c r="K86" s="19">
        <f t="shared" ca="1" si="9"/>
        <v>18</v>
      </c>
      <c r="L86" t="s">
        <v>572</v>
      </c>
      <c r="M86" t="s">
        <v>573</v>
      </c>
      <c r="N86" t="s">
        <v>58</v>
      </c>
      <c r="O86" s="11">
        <v>2</v>
      </c>
      <c r="P86" t="s">
        <v>59</v>
      </c>
      <c r="Q86" t="s">
        <v>574</v>
      </c>
      <c r="R86" s="11">
        <v>9</v>
      </c>
      <c r="S86" s="2" t="s">
        <v>75</v>
      </c>
      <c r="T86" t="s">
        <v>59</v>
      </c>
      <c r="U86" t="s">
        <v>575</v>
      </c>
      <c r="V86" t="s">
        <v>141</v>
      </c>
      <c r="W86" s="2" t="s">
        <v>142</v>
      </c>
      <c r="X86" t="s">
        <v>576</v>
      </c>
      <c r="Y86" t="s">
        <v>63</v>
      </c>
      <c r="Z86" s="11">
        <v>18</v>
      </c>
      <c r="AA86" s="11">
        <v>5</v>
      </c>
      <c r="AB86" s="11">
        <v>1</v>
      </c>
      <c r="AC86" s="11">
        <f t="shared" si="10"/>
        <v>24</v>
      </c>
      <c r="AD86" s="20">
        <f t="shared" si="11"/>
        <v>2.0135917442738486E-3</v>
      </c>
      <c r="AE86" s="11">
        <f t="shared" si="12"/>
        <v>2.0135917442738487</v>
      </c>
      <c r="AF86" s="11">
        <f t="shared" si="13"/>
        <v>4.1949828005705174E-2</v>
      </c>
      <c r="AG86" s="11">
        <f t="shared" si="14"/>
        <v>8.3899656011410355E-3</v>
      </c>
      <c r="AH86" s="11">
        <f t="shared" si="15"/>
        <v>0.27777777777777779</v>
      </c>
      <c r="AI86" t="s">
        <v>62</v>
      </c>
      <c r="AJ86" t="s">
        <v>63</v>
      </c>
      <c r="AK86" t="s">
        <v>577</v>
      </c>
      <c r="AL86" t="s">
        <v>480</v>
      </c>
      <c r="AM86" t="str">
        <f t="shared" si="16"/>
        <v>Saturday</v>
      </c>
      <c r="AN86" t="s">
        <v>63</v>
      </c>
      <c r="AO86" s="31" t="s">
        <v>578</v>
      </c>
      <c r="AP86" s="31" t="s">
        <v>591</v>
      </c>
      <c r="AQ86" t="s">
        <v>62</v>
      </c>
      <c r="AR86" s="11">
        <f t="shared" si="17"/>
        <v>1.0128910970860749</v>
      </c>
    </row>
    <row r="87" spans="1:44" x14ac:dyDescent="0.3">
      <c r="A87" s="8" t="s">
        <v>539</v>
      </c>
      <c r="B87" s="30"/>
      <c r="C87" s="23">
        <v>50</v>
      </c>
      <c r="D87" s="21">
        <v>11919</v>
      </c>
      <c r="E87" s="8" t="s">
        <v>42</v>
      </c>
      <c r="F87" t="s">
        <v>569</v>
      </c>
      <c r="G87">
        <v>2</v>
      </c>
      <c r="H87" s="13" t="s">
        <v>47</v>
      </c>
      <c r="I87" s="17">
        <v>46010</v>
      </c>
      <c r="J87" s="2" t="s">
        <v>48</v>
      </c>
      <c r="K87" s="19">
        <f t="shared" ca="1" si="9"/>
        <v>19</v>
      </c>
      <c r="L87" t="s">
        <v>578</v>
      </c>
      <c r="M87" t="s">
        <v>579</v>
      </c>
      <c r="N87" t="s">
        <v>58</v>
      </c>
      <c r="O87" s="11">
        <v>1</v>
      </c>
      <c r="P87" t="s">
        <v>59</v>
      </c>
      <c r="Q87" t="s">
        <v>580</v>
      </c>
      <c r="R87" s="11">
        <v>10</v>
      </c>
      <c r="S87" s="2" t="s">
        <v>61</v>
      </c>
      <c r="T87" t="s">
        <v>59</v>
      </c>
      <c r="U87" t="s">
        <v>581</v>
      </c>
      <c r="V87" t="s">
        <v>173</v>
      </c>
      <c r="W87" s="2" t="s">
        <v>142</v>
      </c>
      <c r="X87" t="s">
        <v>582</v>
      </c>
      <c r="Y87" t="s">
        <v>62</v>
      </c>
      <c r="Z87" s="11">
        <v>26</v>
      </c>
      <c r="AA87" s="11">
        <v>3</v>
      </c>
      <c r="AB87" s="11">
        <v>1</v>
      </c>
      <c r="AC87" s="11">
        <f t="shared" si="10"/>
        <v>30</v>
      </c>
      <c r="AD87" s="20">
        <f t="shared" si="11"/>
        <v>2.5169896803423106E-3</v>
      </c>
      <c r="AE87" s="11">
        <f t="shared" si="12"/>
        <v>2.5169896803423106</v>
      </c>
      <c r="AF87" s="11">
        <f t="shared" si="13"/>
        <v>2.5169896803423106E-2</v>
      </c>
      <c r="AG87" s="11">
        <f t="shared" si="14"/>
        <v>8.3899656011410355E-3</v>
      </c>
      <c r="AH87" s="11">
        <f t="shared" si="15"/>
        <v>0.11538461538461539</v>
      </c>
      <c r="AI87" t="s">
        <v>62</v>
      </c>
      <c r="AJ87" t="s">
        <v>63</v>
      </c>
      <c r="AK87" t="s">
        <v>583</v>
      </c>
      <c r="AL87" t="s">
        <v>584</v>
      </c>
      <c r="AM87" t="str">
        <f t="shared" si="16"/>
        <v>Friday</v>
      </c>
      <c r="AN87" t="s">
        <v>63</v>
      </c>
      <c r="AO87" s="31"/>
      <c r="AP87" s="31"/>
      <c r="AQ87" t="s">
        <v>62</v>
      </c>
      <c r="AR87" s="11">
        <f t="shared" si="17"/>
        <v>1.0161138713575937</v>
      </c>
    </row>
    <row r="88" spans="1:44" x14ac:dyDescent="0.3">
      <c r="A88" s="8" t="s">
        <v>539</v>
      </c>
      <c r="B88" s="30"/>
      <c r="C88" s="23">
        <v>50</v>
      </c>
      <c r="D88" s="21">
        <v>11919</v>
      </c>
      <c r="E88" s="8" t="s">
        <v>42</v>
      </c>
      <c r="F88" t="s">
        <v>570</v>
      </c>
      <c r="G88">
        <v>3</v>
      </c>
      <c r="H88" s="13" t="s">
        <v>47</v>
      </c>
      <c r="I88" s="17">
        <v>45992</v>
      </c>
      <c r="J88" s="2" t="s">
        <v>48</v>
      </c>
      <c r="K88" s="19">
        <f t="shared" ca="1" si="9"/>
        <v>37</v>
      </c>
      <c r="L88" t="s">
        <v>585</v>
      </c>
      <c r="M88" t="s">
        <v>586</v>
      </c>
      <c r="N88" t="s">
        <v>187</v>
      </c>
      <c r="O88" s="11">
        <v>1</v>
      </c>
      <c r="P88" t="s">
        <v>62</v>
      </c>
      <c r="Q88" t="s">
        <v>587</v>
      </c>
      <c r="R88" s="11">
        <v>6</v>
      </c>
      <c r="S88" s="2" t="s">
        <v>99</v>
      </c>
      <c r="T88" t="s">
        <v>59</v>
      </c>
      <c r="U88" t="s">
        <v>588</v>
      </c>
      <c r="V88" t="s">
        <v>141</v>
      </c>
      <c r="W88" t="s">
        <v>76</v>
      </c>
      <c r="X88" t="s">
        <v>589</v>
      </c>
      <c r="Y88" t="s">
        <v>62</v>
      </c>
      <c r="Z88" s="11">
        <v>15</v>
      </c>
      <c r="AA88" s="11">
        <v>2</v>
      </c>
      <c r="AB88" s="11">
        <v>1</v>
      </c>
      <c r="AC88" s="11">
        <f t="shared" si="10"/>
        <v>18</v>
      </c>
      <c r="AD88" s="20">
        <f t="shared" si="11"/>
        <v>1.5101938082053865E-3</v>
      </c>
      <c r="AE88" s="11">
        <f t="shared" si="12"/>
        <v>1.5101938082053865</v>
      </c>
      <c r="AF88" s="11">
        <f t="shared" si="13"/>
        <v>1.6779931202282071E-2</v>
      </c>
      <c r="AG88" s="11">
        <f t="shared" si="14"/>
        <v>8.3899656011410355E-3</v>
      </c>
      <c r="AH88" s="11">
        <f t="shared" si="15"/>
        <v>0.13333333333333333</v>
      </c>
      <c r="AI88" t="s">
        <v>62</v>
      </c>
      <c r="AJ88" t="s">
        <v>63</v>
      </c>
      <c r="AK88" t="s">
        <v>590</v>
      </c>
      <c r="AL88" t="s">
        <v>250</v>
      </c>
      <c r="AM88" t="str">
        <f t="shared" si="16"/>
        <v>Monday</v>
      </c>
      <c r="AN88" t="s">
        <v>63</v>
      </c>
      <c r="AO88" s="31"/>
      <c r="AP88" s="31"/>
      <c r="AQ88" t="s">
        <v>62</v>
      </c>
      <c r="AR88" s="11">
        <f t="shared" si="17"/>
        <v>1.0096683228145562</v>
      </c>
    </row>
    <row r="89" spans="1:44" x14ac:dyDescent="0.3">
      <c r="A89" s="8" t="s">
        <v>539</v>
      </c>
      <c r="B89" s="30"/>
      <c r="C89" s="23">
        <v>50</v>
      </c>
      <c r="D89" s="21">
        <v>11919</v>
      </c>
      <c r="E89" s="8" t="s">
        <v>42</v>
      </c>
      <c r="F89" t="s">
        <v>571</v>
      </c>
      <c r="G89">
        <v>4</v>
      </c>
      <c r="H89" s="13" t="s">
        <v>47</v>
      </c>
      <c r="I89" s="17">
        <v>45982</v>
      </c>
      <c r="J89" s="2" t="s">
        <v>48</v>
      </c>
      <c r="K89" s="19">
        <f t="shared" ca="1" si="9"/>
        <v>47</v>
      </c>
      <c r="L89" t="s">
        <v>591</v>
      </c>
      <c r="M89" t="s">
        <v>586</v>
      </c>
      <c r="N89" t="s">
        <v>187</v>
      </c>
      <c r="O89" s="11">
        <v>1</v>
      </c>
      <c r="P89" t="s">
        <v>59</v>
      </c>
      <c r="Q89" t="s">
        <v>592</v>
      </c>
      <c r="R89" s="11">
        <v>17</v>
      </c>
      <c r="S89" s="2" t="s">
        <v>75</v>
      </c>
      <c r="T89" t="s">
        <v>59</v>
      </c>
      <c r="U89" t="s">
        <v>593</v>
      </c>
      <c r="V89" t="s">
        <v>141</v>
      </c>
      <c r="W89" s="2" t="s">
        <v>69</v>
      </c>
      <c r="X89" t="s">
        <v>594</v>
      </c>
      <c r="Y89" t="s">
        <v>63</v>
      </c>
      <c r="Z89" s="11">
        <v>14</v>
      </c>
      <c r="AA89" s="11">
        <v>1</v>
      </c>
      <c r="AB89" s="11">
        <v>1</v>
      </c>
      <c r="AC89" s="11">
        <f t="shared" si="10"/>
        <v>16</v>
      </c>
      <c r="AD89" s="20">
        <f t="shared" si="11"/>
        <v>1.3423944961825657E-3</v>
      </c>
      <c r="AE89" s="11">
        <f t="shared" si="12"/>
        <v>1.3423944961825658</v>
      </c>
      <c r="AF89" s="11">
        <f t="shared" si="13"/>
        <v>8.3899656011410355E-3</v>
      </c>
      <c r="AG89" s="11">
        <f t="shared" si="14"/>
        <v>8.3899656011410355E-3</v>
      </c>
      <c r="AH89" s="11">
        <f t="shared" si="15"/>
        <v>7.1428571428571425E-2</v>
      </c>
      <c r="AI89" t="s">
        <v>62</v>
      </c>
      <c r="AJ89" t="s">
        <v>63</v>
      </c>
      <c r="AK89" t="s">
        <v>595</v>
      </c>
      <c r="AL89" t="s">
        <v>80</v>
      </c>
      <c r="AM89" t="str">
        <f t="shared" si="16"/>
        <v>Friday</v>
      </c>
      <c r="AN89" t="s">
        <v>63</v>
      </c>
      <c r="AO89" s="31"/>
      <c r="AP89" s="31"/>
      <c r="AQ89" t="s">
        <v>62</v>
      </c>
      <c r="AR89" s="11">
        <f t="shared" si="17"/>
        <v>1.0085940647240499</v>
      </c>
    </row>
    <row r="90" spans="1:44" x14ac:dyDescent="0.3">
      <c r="A90" s="8" t="s">
        <v>541</v>
      </c>
      <c r="B90" s="30" t="s">
        <v>542</v>
      </c>
      <c r="C90" s="23">
        <v>1</v>
      </c>
      <c r="D90" s="21">
        <v>7925</v>
      </c>
      <c r="E90" s="8" t="s">
        <v>42</v>
      </c>
      <c r="F90" t="s">
        <v>596</v>
      </c>
      <c r="G90">
        <v>1</v>
      </c>
      <c r="H90" s="13" t="s">
        <v>47</v>
      </c>
      <c r="I90" s="17">
        <v>46013</v>
      </c>
      <c r="J90" s="2" t="s">
        <v>89</v>
      </c>
      <c r="K90" s="19">
        <f t="shared" ca="1" si="9"/>
        <v>16</v>
      </c>
      <c r="L90" t="s">
        <v>598</v>
      </c>
      <c r="M90" t="s">
        <v>599</v>
      </c>
      <c r="N90" t="s">
        <v>187</v>
      </c>
      <c r="O90" s="11">
        <v>1</v>
      </c>
      <c r="P90" t="s">
        <v>59</v>
      </c>
      <c r="Q90" t="s">
        <v>600</v>
      </c>
      <c r="R90" s="11">
        <v>18</v>
      </c>
      <c r="S90" s="2" t="s">
        <v>61</v>
      </c>
      <c r="T90" t="s">
        <v>59</v>
      </c>
      <c r="U90" t="s">
        <v>601</v>
      </c>
      <c r="V90" t="s">
        <v>141</v>
      </c>
      <c r="W90" s="2" t="s">
        <v>142</v>
      </c>
      <c r="X90" t="s">
        <v>602</v>
      </c>
      <c r="Y90" t="s">
        <v>62</v>
      </c>
      <c r="Z90" s="11">
        <v>5</v>
      </c>
      <c r="AA90" s="11">
        <v>1</v>
      </c>
      <c r="AB90" s="11">
        <v>0</v>
      </c>
      <c r="AC90" s="11">
        <f t="shared" si="10"/>
        <v>6</v>
      </c>
      <c r="AD90" s="20">
        <f t="shared" si="11"/>
        <v>7.570977917981072E-4</v>
      </c>
      <c r="AE90" s="11">
        <f t="shared" si="12"/>
        <v>0.75709779179810721</v>
      </c>
      <c r="AF90" s="11">
        <f t="shared" si="13"/>
        <v>1.2618296529968456E-2</v>
      </c>
      <c r="AG90" s="11">
        <f t="shared" si="14"/>
        <v>0</v>
      </c>
      <c r="AH90" s="11">
        <f t="shared" si="15"/>
        <v>0.2</v>
      </c>
      <c r="AI90" t="s">
        <v>63</v>
      </c>
      <c r="AJ90" t="s">
        <v>63</v>
      </c>
      <c r="AK90" t="s">
        <v>999</v>
      </c>
      <c r="AL90" t="s">
        <v>603</v>
      </c>
      <c r="AM90" t="str">
        <f t="shared" si="16"/>
        <v>Monday</v>
      </c>
      <c r="AN90" t="s">
        <v>63</v>
      </c>
      <c r="AO90" s="31" t="s">
        <v>386</v>
      </c>
      <c r="AP90" s="31" t="s">
        <v>598</v>
      </c>
      <c r="AQ90" t="s">
        <v>62</v>
      </c>
      <c r="AR90" s="11">
        <f t="shared" si="17"/>
        <v>1.0032227742715187</v>
      </c>
    </row>
    <row r="91" spans="1:44" x14ac:dyDescent="0.3">
      <c r="A91" s="8" t="s">
        <v>541</v>
      </c>
      <c r="B91" s="30"/>
      <c r="C91" s="23">
        <v>1</v>
      </c>
      <c r="D91" s="21">
        <v>7925</v>
      </c>
      <c r="E91" s="8" t="s">
        <v>42</v>
      </c>
      <c r="F91" t="s">
        <v>285</v>
      </c>
      <c r="G91">
        <v>2</v>
      </c>
      <c r="H91" s="13" t="s">
        <v>47</v>
      </c>
      <c r="I91" s="17">
        <v>46013</v>
      </c>
      <c r="J91" s="2" t="s">
        <v>89</v>
      </c>
      <c r="K91" s="19">
        <f t="shared" ca="1" si="9"/>
        <v>16</v>
      </c>
      <c r="L91" t="s">
        <v>386</v>
      </c>
      <c r="M91" t="s">
        <v>604</v>
      </c>
      <c r="N91" t="s">
        <v>187</v>
      </c>
      <c r="O91" s="11">
        <v>1</v>
      </c>
      <c r="P91" t="s">
        <v>59</v>
      </c>
      <c r="Q91" t="s">
        <v>605</v>
      </c>
      <c r="R91" s="11">
        <v>10</v>
      </c>
      <c r="S91" s="2" t="s">
        <v>61</v>
      </c>
      <c r="T91" t="s">
        <v>59</v>
      </c>
      <c r="U91" t="s">
        <v>606</v>
      </c>
      <c r="V91" s="2" t="s">
        <v>289</v>
      </c>
      <c r="W91" t="s">
        <v>76</v>
      </c>
      <c r="X91" t="s">
        <v>607</v>
      </c>
      <c r="Y91" t="s">
        <v>63</v>
      </c>
      <c r="Z91" s="11">
        <v>3</v>
      </c>
      <c r="AA91" s="11">
        <v>0</v>
      </c>
      <c r="AB91" s="11">
        <v>0</v>
      </c>
      <c r="AC91" s="11">
        <f t="shared" si="10"/>
        <v>3</v>
      </c>
      <c r="AD91" s="20">
        <f t="shared" si="11"/>
        <v>3.785488958990536E-4</v>
      </c>
      <c r="AE91" s="11">
        <f t="shared" si="12"/>
        <v>0.37854889589905361</v>
      </c>
      <c r="AF91" s="11">
        <f t="shared" si="13"/>
        <v>0</v>
      </c>
      <c r="AG91" s="11">
        <f t="shared" si="14"/>
        <v>0</v>
      </c>
      <c r="AH91" s="11">
        <f t="shared" si="15"/>
        <v>0</v>
      </c>
      <c r="AI91" t="s">
        <v>63</v>
      </c>
      <c r="AJ91" t="s">
        <v>63</v>
      </c>
      <c r="AK91" t="s">
        <v>1000</v>
      </c>
      <c r="AL91" t="s">
        <v>608</v>
      </c>
      <c r="AM91" t="str">
        <f t="shared" si="16"/>
        <v>Monday</v>
      </c>
      <c r="AN91" t="s">
        <v>63</v>
      </c>
      <c r="AO91" s="31"/>
      <c r="AP91" s="31"/>
      <c r="AQ91" t="s">
        <v>62</v>
      </c>
      <c r="AR91" s="11">
        <f t="shared" si="17"/>
        <v>1.0016113871357593</v>
      </c>
    </row>
    <row r="92" spans="1:44" x14ac:dyDescent="0.3">
      <c r="A92" s="8" t="s">
        <v>541</v>
      </c>
      <c r="B92" s="30"/>
      <c r="C92" s="23">
        <v>1</v>
      </c>
      <c r="D92" s="21">
        <v>7925</v>
      </c>
      <c r="E92" s="8" t="s">
        <v>42</v>
      </c>
      <c r="F92" t="s">
        <v>597</v>
      </c>
      <c r="G92">
        <v>3</v>
      </c>
      <c r="H92" s="13" t="s">
        <v>47</v>
      </c>
      <c r="I92" s="17">
        <v>46012</v>
      </c>
      <c r="J92" s="2" t="s">
        <v>89</v>
      </c>
      <c r="K92" s="19">
        <f t="shared" ca="1" si="9"/>
        <v>17</v>
      </c>
      <c r="L92" t="s">
        <v>50</v>
      </c>
      <c r="M92" t="s">
        <v>609</v>
      </c>
      <c r="N92" t="s">
        <v>187</v>
      </c>
      <c r="O92" s="11">
        <v>1</v>
      </c>
      <c r="P92" t="s">
        <v>62</v>
      </c>
      <c r="Q92" t="s">
        <v>605</v>
      </c>
      <c r="R92" s="11">
        <v>7</v>
      </c>
      <c r="S92" s="2" t="s">
        <v>99</v>
      </c>
      <c r="T92" t="s">
        <v>59</v>
      </c>
      <c r="U92" t="s">
        <v>610</v>
      </c>
      <c r="V92" t="s">
        <v>141</v>
      </c>
      <c r="W92" t="s">
        <v>76</v>
      </c>
      <c r="X92" t="s">
        <v>611</v>
      </c>
      <c r="Y92" t="s">
        <v>62</v>
      </c>
      <c r="Z92" s="11">
        <v>17</v>
      </c>
      <c r="AA92" s="11">
        <v>3</v>
      </c>
      <c r="AB92" s="11">
        <v>1</v>
      </c>
      <c r="AC92" s="11">
        <f t="shared" si="10"/>
        <v>21</v>
      </c>
      <c r="AD92" s="20">
        <f t="shared" si="11"/>
        <v>2.6498422712933753E-3</v>
      </c>
      <c r="AE92" s="11">
        <f t="shared" si="12"/>
        <v>2.6498422712933754</v>
      </c>
      <c r="AF92" s="11">
        <f t="shared" si="13"/>
        <v>3.7854889589905363E-2</v>
      </c>
      <c r="AG92" s="11">
        <f t="shared" si="14"/>
        <v>1.2618296529968456E-2</v>
      </c>
      <c r="AH92" s="11">
        <f t="shared" si="15"/>
        <v>0.17647058823529413</v>
      </c>
      <c r="AI92" t="s">
        <v>63</v>
      </c>
      <c r="AJ92" t="s">
        <v>63</v>
      </c>
      <c r="AK92" t="s">
        <v>51</v>
      </c>
      <c r="AL92" t="s">
        <v>192</v>
      </c>
      <c r="AM92" t="str">
        <f t="shared" si="16"/>
        <v>Sunday</v>
      </c>
      <c r="AN92" t="s">
        <v>63</v>
      </c>
      <c r="AO92" s="31"/>
      <c r="AP92" s="31"/>
      <c r="AQ92" t="s">
        <v>62</v>
      </c>
      <c r="AR92" s="11">
        <f t="shared" si="17"/>
        <v>1.0112797099503155</v>
      </c>
    </row>
    <row r="93" spans="1:44" x14ac:dyDescent="0.3">
      <c r="A93" s="8" t="s">
        <v>541</v>
      </c>
      <c r="B93" s="30"/>
      <c r="C93" s="23">
        <v>1</v>
      </c>
      <c r="D93" s="21">
        <v>7925</v>
      </c>
      <c r="E93" s="8" t="s">
        <v>42</v>
      </c>
      <c r="F93" t="s">
        <v>283</v>
      </c>
      <c r="G93">
        <v>4</v>
      </c>
      <c r="H93" s="13" t="s">
        <v>47</v>
      </c>
      <c r="I93" s="17">
        <v>46009</v>
      </c>
      <c r="J93" s="2" t="s">
        <v>89</v>
      </c>
      <c r="K93" s="19">
        <f t="shared" ca="1" si="9"/>
        <v>20</v>
      </c>
      <c r="L93" t="s">
        <v>612</v>
      </c>
      <c r="M93" t="s">
        <v>55</v>
      </c>
      <c r="N93" t="s">
        <v>187</v>
      </c>
      <c r="O93" s="11">
        <v>1</v>
      </c>
      <c r="P93" t="s">
        <v>63</v>
      </c>
      <c r="Q93" t="s">
        <v>613</v>
      </c>
      <c r="R93" s="11">
        <v>11</v>
      </c>
      <c r="S93" s="2" t="s">
        <v>61</v>
      </c>
      <c r="T93" t="s">
        <v>63</v>
      </c>
      <c r="U93" t="s">
        <v>614</v>
      </c>
      <c r="V93" t="s">
        <v>173</v>
      </c>
      <c r="W93" t="s">
        <v>173</v>
      </c>
      <c r="X93" t="s">
        <v>615</v>
      </c>
      <c r="Y93" t="s">
        <v>62</v>
      </c>
      <c r="Z93" s="11">
        <v>8</v>
      </c>
      <c r="AA93" s="11">
        <v>0</v>
      </c>
      <c r="AB93" s="11">
        <v>1</v>
      </c>
      <c r="AC93" s="11">
        <f t="shared" si="10"/>
        <v>9</v>
      </c>
      <c r="AD93" s="20">
        <f t="shared" si="11"/>
        <v>1.1356466876971609E-3</v>
      </c>
      <c r="AE93" s="11">
        <f t="shared" si="12"/>
        <v>1.1356466876971609</v>
      </c>
      <c r="AF93" s="11">
        <f t="shared" si="13"/>
        <v>0</v>
      </c>
      <c r="AG93" s="11">
        <f t="shared" si="14"/>
        <v>1.2618296529968456E-2</v>
      </c>
      <c r="AH93" s="11">
        <f t="shared" si="15"/>
        <v>0</v>
      </c>
      <c r="AI93" t="s">
        <v>63</v>
      </c>
      <c r="AJ93" t="s">
        <v>63</v>
      </c>
      <c r="AK93" t="s">
        <v>890</v>
      </c>
      <c r="AL93" t="s">
        <v>71</v>
      </c>
      <c r="AM93" t="str">
        <f t="shared" si="16"/>
        <v>Thursday</v>
      </c>
      <c r="AN93" t="s">
        <v>63</v>
      </c>
      <c r="AO93" s="31"/>
      <c r="AP93" s="31"/>
      <c r="AQ93" t="s">
        <v>62</v>
      </c>
      <c r="AR93" s="11">
        <f t="shared" si="17"/>
        <v>1.004834161407278</v>
      </c>
    </row>
    <row r="94" spans="1:44" x14ac:dyDescent="0.3">
      <c r="A94" s="8" t="s">
        <v>543</v>
      </c>
      <c r="B94" s="30" t="s">
        <v>544</v>
      </c>
      <c r="C94" s="23">
        <v>5</v>
      </c>
      <c r="D94" s="21">
        <v>40346</v>
      </c>
      <c r="E94" s="8" t="s">
        <v>42</v>
      </c>
      <c r="F94" t="s">
        <v>616</v>
      </c>
      <c r="G94">
        <v>1</v>
      </c>
      <c r="H94" s="13" t="s">
        <v>47</v>
      </c>
      <c r="I94" s="17">
        <v>46008</v>
      </c>
      <c r="J94" s="2" t="s">
        <v>48</v>
      </c>
      <c r="K94" s="19">
        <f t="shared" ca="1" si="9"/>
        <v>21</v>
      </c>
      <c r="L94" t="s">
        <v>620</v>
      </c>
      <c r="M94" t="s">
        <v>55</v>
      </c>
      <c r="N94" t="s">
        <v>187</v>
      </c>
      <c r="O94" s="11">
        <v>1</v>
      </c>
      <c r="P94" t="s">
        <v>63</v>
      </c>
      <c r="Q94" t="s">
        <v>144</v>
      </c>
      <c r="R94" s="11">
        <v>15</v>
      </c>
      <c r="S94" s="2" t="s">
        <v>75</v>
      </c>
      <c r="T94" t="s">
        <v>59</v>
      </c>
      <c r="U94" t="s">
        <v>273</v>
      </c>
      <c r="V94" s="2" t="s">
        <v>289</v>
      </c>
      <c r="W94" t="s">
        <v>76</v>
      </c>
      <c r="X94" t="s">
        <v>621</v>
      </c>
      <c r="Y94" t="s">
        <v>63</v>
      </c>
      <c r="Z94" s="11">
        <v>271</v>
      </c>
      <c r="AA94" s="11">
        <v>38</v>
      </c>
      <c r="AB94" s="11">
        <v>8</v>
      </c>
      <c r="AC94" s="11">
        <f t="shared" si="10"/>
        <v>317</v>
      </c>
      <c r="AD94" s="20">
        <f t="shared" si="11"/>
        <v>7.857036633123482E-3</v>
      </c>
      <c r="AE94" s="11">
        <f t="shared" si="12"/>
        <v>7.8570366331234816</v>
      </c>
      <c r="AF94" s="11">
        <f t="shared" si="13"/>
        <v>9.4185297179398206E-2</v>
      </c>
      <c r="AG94" s="11">
        <f t="shared" si="14"/>
        <v>1.9828483616715412E-2</v>
      </c>
      <c r="AH94" s="11">
        <f t="shared" si="15"/>
        <v>0.14022140221402213</v>
      </c>
      <c r="AI94" t="s">
        <v>63</v>
      </c>
      <c r="AJ94" t="s">
        <v>63</v>
      </c>
      <c r="AK94" t="s">
        <v>1001</v>
      </c>
      <c r="AL94" t="s">
        <v>71</v>
      </c>
      <c r="AM94" t="str">
        <f t="shared" si="16"/>
        <v>Wednesday</v>
      </c>
      <c r="AN94" t="s">
        <v>63</v>
      </c>
      <c r="AO94" s="31" t="s">
        <v>620</v>
      </c>
      <c r="AP94" s="31" t="s">
        <v>55</v>
      </c>
      <c r="AQ94" t="s">
        <v>63</v>
      </c>
      <c r="AR94" s="11">
        <f t="shared" si="17"/>
        <v>1.1702699073452396</v>
      </c>
    </row>
    <row r="95" spans="1:44" x14ac:dyDescent="0.3">
      <c r="A95" s="8" t="s">
        <v>543</v>
      </c>
      <c r="B95" s="30"/>
      <c r="C95" s="23">
        <v>5</v>
      </c>
      <c r="D95" s="21">
        <v>40346</v>
      </c>
      <c r="E95" s="8" t="s">
        <v>42</v>
      </c>
      <c r="F95" t="s">
        <v>617</v>
      </c>
      <c r="G95">
        <v>2</v>
      </c>
      <c r="H95" s="13" t="s">
        <v>47</v>
      </c>
      <c r="I95" s="17">
        <v>46008</v>
      </c>
      <c r="J95" s="2" t="s">
        <v>48</v>
      </c>
      <c r="K95" s="19">
        <f t="shared" ca="1" si="9"/>
        <v>21</v>
      </c>
      <c r="L95" t="s">
        <v>620</v>
      </c>
      <c r="M95" t="s">
        <v>55</v>
      </c>
      <c r="N95" t="s">
        <v>187</v>
      </c>
      <c r="O95" s="11">
        <v>1</v>
      </c>
      <c r="P95" t="s">
        <v>63</v>
      </c>
      <c r="Q95" t="s">
        <v>622</v>
      </c>
      <c r="R95" s="11">
        <v>14</v>
      </c>
      <c r="S95" s="2" t="s">
        <v>75</v>
      </c>
      <c r="T95" t="s">
        <v>59</v>
      </c>
      <c r="U95" t="s">
        <v>273</v>
      </c>
      <c r="V95" s="2" t="s">
        <v>289</v>
      </c>
      <c r="W95" t="s">
        <v>141</v>
      </c>
      <c r="X95" t="s">
        <v>621</v>
      </c>
      <c r="Y95" t="s">
        <v>63</v>
      </c>
      <c r="Z95" s="11">
        <v>271</v>
      </c>
      <c r="AA95" s="11">
        <v>38</v>
      </c>
      <c r="AB95" s="11">
        <v>8</v>
      </c>
      <c r="AC95" s="11">
        <f t="shared" si="10"/>
        <v>317</v>
      </c>
      <c r="AD95" s="20">
        <f t="shared" si="11"/>
        <v>7.857036633123482E-3</v>
      </c>
      <c r="AE95" s="11">
        <f t="shared" si="12"/>
        <v>7.8570366331234816</v>
      </c>
      <c r="AF95" s="11">
        <f t="shared" si="13"/>
        <v>9.4185297179398206E-2</v>
      </c>
      <c r="AG95" s="11">
        <f t="shared" si="14"/>
        <v>1.9828483616715412E-2</v>
      </c>
      <c r="AH95" s="11">
        <f t="shared" si="15"/>
        <v>0.14022140221402213</v>
      </c>
      <c r="AI95" t="s">
        <v>63</v>
      </c>
      <c r="AJ95" t="s">
        <v>63</v>
      </c>
      <c r="AK95" t="s">
        <v>1001</v>
      </c>
      <c r="AL95" t="s">
        <v>71</v>
      </c>
      <c r="AM95" t="str">
        <f t="shared" si="16"/>
        <v>Wednesday</v>
      </c>
      <c r="AN95" t="s">
        <v>63</v>
      </c>
      <c r="AO95" s="31"/>
      <c r="AP95" s="31"/>
      <c r="AQ95" t="s">
        <v>63</v>
      </c>
      <c r="AR95" s="11">
        <f t="shared" si="17"/>
        <v>1.1702699073452396</v>
      </c>
    </row>
    <row r="96" spans="1:44" x14ac:dyDescent="0.3">
      <c r="A96" s="8" t="s">
        <v>543</v>
      </c>
      <c r="B96" s="30"/>
      <c r="C96" s="23">
        <v>5</v>
      </c>
      <c r="D96" s="21">
        <v>40346</v>
      </c>
      <c r="E96" s="8" t="s">
        <v>42</v>
      </c>
      <c r="F96" t="s">
        <v>618</v>
      </c>
      <c r="G96">
        <v>3</v>
      </c>
      <c r="H96" s="13" t="s">
        <v>47</v>
      </c>
      <c r="I96" s="17">
        <v>46008</v>
      </c>
      <c r="J96" s="2" t="s">
        <v>48</v>
      </c>
      <c r="K96" s="19">
        <f t="shared" ca="1" si="9"/>
        <v>21</v>
      </c>
      <c r="L96" s="2" t="s">
        <v>90</v>
      </c>
      <c r="M96" t="s">
        <v>623</v>
      </c>
      <c r="N96" t="s">
        <v>187</v>
      </c>
      <c r="O96" s="11">
        <v>1</v>
      </c>
      <c r="P96" t="s">
        <v>63</v>
      </c>
      <c r="Q96" t="s">
        <v>624</v>
      </c>
      <c r="R96" s="11">
        <v>11</v>
      </c>
      <c r="S96" s="2" t="s">
        <v>75</v>
      </c>
      <c r="T96" t="s">
        <v>63</v>
      </c>
      <c r="U96" t="s">
        <v>273</v>
      </c>
      <c r="V96" s="2" t="s">
        <v>289</v>
      </c>
      <c r="W96" s="2" t="s">
        <v>69</v>
      </c>
      <c r="X96" t="s">
        <v>274</v>
      </c>
      <c r="Y96" t="s">
        <v>63</v>
      </c>
      <c r="Z96" s="11">
        <v>108</v>
      </c>
      <c r="AA96" s="11">
        <v>55</v>
      </c>
      <c r="AB96" s="11">
        <v>10</v>
      </c>
      <c r="AC96" s="11">
        <f t="shared" si="10"/>
        <v>173</v>
      </c>
      <c r="AD96" s="20">
        <f t="shared" si="11"/>
        <v>4.2879095821147075E-3</v>
      </c>
      <c r="AE96" s="11">
        <f t="shared" si="12"/>
        <v>4.2879095821147075</v>
      </c>
      <c r="AF96" s="11">
        <f t="shared" si="13"/>
        <v>0.13632082486491848</v>
      </c>
      <c r="AG96" s="11">
        <f t="shared" si="14"/>
        <v>2.4785604520894261E-2</v>
      </c>
      <c r="AH96" s="11">
        <f t="shared" si="15"/>
        <v>0.5092592592592593</v>
      </c>
      <c r="AI96" t="s">
        <v>63</v>
      </c>
      <c r="AJ96" t="s">
        <v>63</v>
      </c>
      <c r="AK96" t="s">
        <v>1002</v>
      </c>
      <c r="AL96" t="s">
        <v>188</v>
      </c>
      <c r="AM96" t="str">
        <f t="shared" si="16"/>
        <v>Wednesday</v>
      </c>
      <c r="AN96" t="s">
        <v>63</v>
      </c>
      <c r="AO96" s="31"/>
      <c r="AP96" s="31"/>
      <c r="AQ96" t="s">
        <v>63</v>
      </c>
      <c r="AR96" s="11">
        <f t="shared" si="17"/>
        <v>1.0929233248287902</v>
      </c>
    </row>
    <row r="97" spans="1:44" x14ac:dyDescent="0.3">
      <c r="A97" s="8" t="s">
        <v>543</v>
      </c>
      <c r="B97" s="30"/>
      <c r="C97" s="23">
        <v>5</v>
      </c>
      <c r="D97" s="21">
        <v>40346</v>
      </c>
      <c r="E97" s="8" t="s">
        <v>42</v>
      </c>
      <c r="F97" t="s">
        <v>619</v>
      </c>
      <c r="G97">
        <v>4</v>
      </c>
      <c r="H97" s="13" t="s">
        <v>47</v>
      </c>
      <c r="I97" s="17">
        <v>46001</v>
      </c>
      <c r="J97" s="2" t="s">
        <v>48</v>
      </c>
      <c r="K97" s="19">
        <f t="shared" ca="1" si="9"/>
        <v>28</v>
      </c>
      <c r="L97" s="2" t="s">
        <v>90</v>
      </c>
      <c r="M97" t="s">
        <v>623</v>
      </c>
      <c r="N97" t="s">
        <v>187</v>
      </c>
      <c r="O97" s="11">
        <v>1</v>
      </c>
      <c r="P97" t="s">
        <v>63</v>
      </c>
      <c r="Q97" t="s">
        <v>625</v>
      </c>
      <c r="R97" s="11">
        <v>12</v>
      </c>
      <c r="S97" s="2" t="s">
        <v>75</v>
      </c>
      <c r="T97" t="s">
        <v>63</v>
      </c>
      <c r="U97" t="s">
        <v>626</v>
      </c>
      <c r="V97" t="s">
        <v>141</v>
      </c>
      <c r="W97" t="s">
        <v>141</v>
      </c>
      <c r="X97" t="s">
        <v>627</v>
      </c>
      <c r="Y97" t="s">
        <v>62</v>
      </c>
      <c r="Z97" s="11">
        <v>105</v>
      </c>
      <c r="AA97" s="11">
        <v>26</v>
      </c>
      <c r="AB97" s="11">
        <v>8</v>
      </c>
      <c r="AC97" s="11">
        <f t="shared" si="10"/>
        <v>139</v>
      </c>
      <c r="AD97" s="20">
        <f t="shared" si="11"/>
        <v>3.4451990284043027E-3</v>
      </c>
      <c r="AE97" s="11">
        <f t="shared" si="12"/>
        <v>3.4451990284043026</v>
      </c>
      <c r="AF97" s="11">
        <f t="shared" si="13"/>
        <v>6.4442571754325079E-2</v>
      </c>
      <c r="AG97" s="11">
        <f t="shared" si="14"/>
        <v>1.9828483616715412E-2</v>
      </c>
      <c r="AH97" s="11">
        <f t="shared" si="15"/>
        <v>0.24761904761904763</v>
      </c>
      <c r="AI97" t="s">
        <v>63</v>
      </c>
      <c r="AJ97" t="s">
        <v>63</v>
      </c>
      <c r="AK97" t="s">
        <v>1002</v>
      </c>
      <c r="AL97" t="s">
        <v>628</v>
      </c>
      <c r="AM97" t="str">
        <f t="shared" si="16"/>
        <v>Wednesday</v>
      </c>
      <c r="AN97" t="s">
        <v>63</v>
      </c>
      <c r="AO97" s="31"/>
      <c r="AP97" s="31"/>
      <c r="AQ97" t="s">
        <v>63</v>
      </c>
      <c r="AR97" s="11">
        <f t="shared" si="17"/>
        <v>1.0746609372901839</v>
      </c>
    </row>
    <row r="98" spans="1:44" x14ac:dyDescent="0.3">
      <c r="A98" s="8" t="s">
        <v>545</v>
      </c>
      <c r="B98" s="30" t="s">
        <v>546</v>
      </c>
      <c r="C98" s="23">
        <v>10</v>
      </c>
      <c r="D98" s="21">
        <v>5190</v>
      </c>
      <c r="E98" s="8" t="s">
        <v>42</v>
      </c>
      <c r="F98" t="s">
        <v>630</v>
      </c>
      <c r="G98">
        <v>1</v>
      </c>
      <c r="H98" s="13" t="s">
        <v>47</v>
      </c>
      <c r="I98" s="17">
        <v>46012</v>
      </c>
      <c r="J98" s="2" t="s">
        <v>48</v>
      </c>
      <c r="K98" s="19">
        <f t="shared" ca="1" si="9"/>
        <v>17</v>
      </c>
      <c r="L98" t="s">
        <v>634</v>
      </c>
      <c r="M98" t="s">
        <v>635</v>
      </c>
      <c r="N98" t="s">
        <v>187</v>
      </c>
      <c r="O98" s="11">
        <v>1</v>
      </c>
      <c r="P98" t="s">
        <v>63</v>
      </c>
      <c r="Q98" t="s">
        <v>636</v>
      </c>
      <c r="R98" s="11">
        <v>11</v>
      </c>
      <c r="S98" s="2" t="s">
        <v>99</v>
      </c>
      <c r="T98" t="s">
        <v>63</v>
      </c>
      <c r="U98" t="s">
        <v>610</v>
      </c>
      <c r="V98" t="s">
        <v>141</v>
      </c>
      <c r="W98" t="s">
        <v>76</v>
      </c>
      <c r="X98" t="s">
        <v>637</v>
      </c>
      <c r="Y98" t="s">
        <v>62</v>
      </c>
      <c r="Z98" s="11">
        <v>6</v>
      </c>
      <c r="AA98" s="11">
        <v>1</v>
      </c>
      <c r="AB98" s="11">
        <v>3</v>
      </c>
      <c r="AC98" s="11">
        <f t="shared" si="10"/>
        <v>10</v>
      </c>
      <c r="AD98" s="20">
        <f t="shared" si="11"/>
        <v>1.9267822736030828E-3</v>
      </c>
      <c r="AE98" s="11">
        <f t="shared" si="12"/>
        <v>1.9267822736030829</v>
      </c>
      <c r="AF98" s="11">
        <f t="shared" si="13"/>
        <v>1.926782273603083E-2</v>
      </c>
      <c r="AG98" s="11">
        <f t="shared" si="14"/>
        <v>5.7803468208092491E-2</v>
      </c>
      <c r="AH98" s="11">
        <f t="shared" si="15"/>
        <v>0.16666666666666666</v>
      </c>
      <c r="AI98" t="s">
        <v>63</v>
      </c>
      <c r="AJ98" t="s">
        <v>63</v>
      </c>
      <c r="AK98" t="s">
        <v>1003</v>
      </c>
      <c r="AL98" t="s">
        <v>638</v>
      </c>
      <c r="AM98" t="str">
        <f t="shared" si="16"/>
        <v>Sunday</v>
      </c>
      <c r="AN98" t="s">
        <v>63</v>
      </c>
      <c r="AO98" s="31" t="s">
        <v>90</v>
      </c>
      <c r="AP98" s="31" t="s">
        <v>1028</v>
      </c>
      <c r="AQ98" t="s">
        <v>63</v>
      </c>
      <c r="AR98" s="11">
        <f t="shared" si="17"/>
        <v>1.0053712904525312</v>
      </c>
    </row>
    <row r="99" spans="1:44" x14ac:dyDescent="0.3">
      <c r="A99" s="8" t="s">
        <v>545</v>
      </c>
      <c r="B99" s="30"/>
      <c r="C99" s="23">
        <v>10</v>
      </c>
      <c r="D99" s="21">
        <v>5190</v>
      </c>
      <c r="E99" s="8" t="s">
        <v>42</v>
      </c>
      <c r="F99" t="s">
        <v>631</v>
      </c>
      <c r="G99">
        <v>2</v>
      </c>
      <c r="H99" s="13" t="s">
        <v>47</v>
      </c>
      <c r="I99" s="17">
        <v>46012</v>
      </c>
      <c r="J99" s="2" t="s">
        <v>48</v>
      </c>
      <c r="K99" s="19">
        <f t="shared" ca="1" si="9"/>
        <v>17</v>
      </c>
      <c r="L99" s="2" t="s">
        <v>90</v>
      </c>
      <c r="M99" t="s">
        <v>110</v>
      </c>
      <c r="N99" t="s">
        <v>58</v>
      </c>
      <c r="O99" s="11">
        <v>1</v>
      </c>
      <c r="P99" t="s">
        <v>63</v>
      </c>
      <c r="Q99" t="s">
        <v>639</v>
      </c>
      <c r="R99" s="11">
        <v>11</v>
      </c>
      <c r="S99" s="2" t="s">
        <v>99</v>
      </c>
      <c r="T99" t="s">
        <v>63</v>
      </c>
      <c r="U99" t="s">
        <v>640</v>
      </c>
      <c r="V99" s="2" t="s">
        <v>173</v>
      </c>
      <c r="W99" t="s">
        <v>142</v>
      </c>
      <c r="X99" t="s">
        <v>641</v>
      </c>
      <c r="Y99" t="s">
        <v>62</v>
      </c>
      <c r="Z99" s="11">
        <v>44</v>
      </c>
      <c r="AA99" s="11">
        <v>5</v>
      </c>
      <c r="AB99" s="11">
        <v>1</v>
      </c>
      <c r="AC99" s="11">
        <f t="shared" si="10"/>
        <v>50</v>
      </c>
      <c r="AD99" s="20">
        <f t="shared" si="11"/>
        <v>9.6339113680154135E-3</v>
      </c>
      <c r="AE99" s="11">
        <f t="shared" si="12"/>
        <v>9.6339113680154131</v>
      </c>
      <c r="AF99" s="11">
        <f t="shared" si="13"/>
        <v>9.6339113680154145E-2</v>
      </c>
      <c r="AG99" s="11">
        <f t="shared" si="14"/>
        <v>1.926782273603083E-2</v>
      </c>
      <c r="AH99" s="11">
        <f t="shared" si="15"/>
        <v>0.11363636363636363</v>
      </c>
      <c r="AI99" t="s">
        <v>63</v>
      </c>
      <c r="AJ99" t="s">
        <v>63</v>
      </c>
      <c r="AK99" t="s">
        <v>110</v>
      </c>
      <c r="AL99" t="s">
        <v>190</v>
      </c>
      <c r="AM99" t="str">
        <f t="shared" si="16"/>
        <v>Sunday</v>
      </c>
      <c r="AN99" t="s">
        <v>63</v>
      </c>
      <c r="AO99" s="31"/>
      <c r="AP99" s="31"/>
      <c r="AQ99" t="s">
        <v>63</v>
      </c>
      <c r="AR99" s="11">
        <f t="shared" si="17"/>
        <v>1.0268564522626562</v>
      </c>
    </row>
    <row r="100" spans="1:44" x14ac:dyDescent="0.3">
      <c r="A100" s="8" t="s">
        <v>545</v>
      </c>
      <c r="B100" s="30"/>
      <c r="C100" s="23">
        <v>10</v>
      </c>
      <c r="D100" s="21">
        <v>5190</v>
      </c>
      <c r="E100" s="8" t="s">
        <v>42</v>
      </c>
      <c r="F100" t="s">
        <v>632</v>
      </c>
      <c r="G100">
        <v>3</v>
      </c>
      <c r="H100" s="13" t="s">
        <v>47</v>
      </c>
      <c r="I100" s="17">
        <v>46008</v>
      </c>
      <c r="J100" s="2" t="s">
        <v>48</v>
      </c>
      <c r="K100" s="19">
        <f t="shared" ca="1" si="9"/>
        <v>21</v>
      </c>
      <c r="L100" t="s">
        <v>248</v>
      </c>
      <c r="M100" t="s">
        <v>642</v>
      </c>
      <c r="N100" t="s">
        <v>629</v>
      </c>
      <c r="O100" s="11">
        <v>1</v>
      </c>
      <c r="P100" t="s">
        <v>62</v>
      </c>
      <c r="Q100" t="s">
        <v>643</v>
      </c>
      <c r="R100" s="11">
        <v>10</v>
      </c>
      <c r="S100" s="2" t="s">
        <v>99</v>
      </c>
      <c r="T100" t="s">
        <v>63</v>
      </c>
      <c r="U100" t="s">
        <v>606</v>
      </c>
      <c r="V100" t="s">
        <v>141</v>
      </c>
      <c r="W100" t="s">
        <v>76</v>
      </c>
      <c r="X100" t="s">
        <v>644</v>
      </c>
      <c r="Y100" t="s">
        <v>62</v>
      </c>
      <c r="Z100" s="11">
        <v>8</v>
      </c>
      <c r="AA100" s="11">
        <v>3</v>
      </c>
      <c r="AB100" s="11">
        <v>2</v>
      </c>
      <c r="AC100" s="11">
        <f t="shared" si="10"/>
        <v>13</v>
      </c>
      <c r="AD100" s="20">
        <f t="shared" si="11"/>
        <v>2.5048169556840076E-3</v>
      </c>
      <c r="AE100" s="11">
        <f t="shared" si="12"/>
        <v>2.5048169556840074</v>
      </c>
      <c r="AF100" s="11">
        <f t="shared" si="13"/>
        <v>5.7803468208092491E-2</v>
      </c>
      <c r="AG100" s="11">
        <f t="shared" si="14"/>
        <v>3.8535645472061661E-2</v>
      </c>
      <c r="AH100" s="11">
        <f t="shared" si="15"/>
        <v>0.375</v>
      </c>
      <c r="AI100" t="s">
        <v>63</v>
      </c>
      <c r="AJ100" t="s">
        <v>63</v>
      </c>
      <c r="AK100" t="s">
        <v>1004</v>
      </c>
      <c r="AL100" t="s">
        <v>645</v>
      </c>
      <c r="AM100" t="str">
        <f t="shared" si="16"/>
        <v>Wednesday</v>
      </c>
      <c r="AN100" t="s">
        <v>63</v>
      </c>
      <c r="AO100" s="31"/>
      <c r="AP100" s="31"/>
      <c r="AQ100" t="s">
        <v>63</v>
      </c>
      <c r="AR100" s="11">
        <f t="shared" si="17"/>
        <v>1.0069826775882906</v>
      </c>
    </row>
    <row r="101" spans="1:44" x14ac:dyDescent="0.3">
      <c r="A101" s="8" t="s">
        <v>545</v>
      </c>
      <c r="B101" s="30"/>
      <c r="C101" s="23">
        <v>10</v>
      </c>
      <c r="D101" s="21">
        <v>5190</v>
      </c>
      <c r="E101" s="8" t="s">
        <v>42</v>
      </c>
      <c r="F101" t="s">
        <v>633</v>
      </c>
      <c r="G101">
        <v>4</v>
      </c>
      <c r="H101" s="13" t="s">
        <v>47</v>
      </c>
      <c r="I101" s="17">
        <v>46008</v>
      </c>
      <c r="J101" s="2" t="s">
        <v>48</v>
      </c>
      <c r="K101" s="19">
        <f t="shared" ca="1" si="9"/>
        <v>21</v>
      </c>
      <c r="L101" t="s">
        <v>248</v>
      </c>
      <c r="M101" t="s">
        <v>642</v>
      </c>
      <c r="N101" t="s">
        <v>629</v>
      </c>
      <c r="O101" s="11">
        <v>1</v>
      </c>
      <c r="P101" t="s">
        <v>62</v>
      </c>
      <c r="Q101" t="s">
        <v>643</v>
      </c>
      <c r="R101" s="11">
        <v>10</v>
      </c>
      <c r="S101" s="2" t="s">
        <v>99</v>
      </c>
      <c r="T101" t="s">
        <v>63</v>
      </c>
      <c r="U101" t="s">
        <v>606</v>
      </c>
      <c r="V101" t="s">
        <v>141</v>
      </c>
      <c r="W101" t="s">
        <v>76</v>
      </c>
      <c r="X101" t="s">
        <v>646</v>
      </c>
      <c r="Y101" t="s">
        <v>62</v>
      </c>
      <c r="Z101" s="11">
        <v>8</v>
      </c>
      <c r="AA101" s="11">
        <v>3</v>
      </c>
      <c r="AB101" s="11">
        <v>2</v>
      </c>
      <c r="AC101" s="11">
        <f t="shared" si="10"/>
        <v>13</v>
      </c>
      <c r="AD101" s="20">
        <f t="shared" si="11"/>
        <v>2.5048169556840076E-3</v>
      </c>
      <c r="AE101" s="11">
        <f t="shared" si="12"/>
        <v>2.5048169556840074</v>
      </c>
      <c r="AF101" s="11">
        <f t="shared" si="13"/>
        <v>5.7803468208092491E-2</v>
      </c>
      <c r="AG101" s="11">
        <f t="shared" si="14"/>
        <v>3.8535645472061661E-2</v>
      </c>
      <c r="AH101" s="11">
        <f t="shared" si="15"/>
        <v>0.375</v>
      </c>
      <c r="AI101" t="s">
        <v>63</v>
      </c>
      <c r="AJ101" t="s">
        <v>63</v>
      </c>
      <c r="AK101" t="s">
        <v>1004</v>
      </c>
      <c r="AL101" t="s">
        <v>647</v>
      </c>
      <c r="AM101" t="str">
        <f t="shared" si="16"/>
        <v>Wednesday</v>
      </c>
      <c r="AN101" t="s">
        <v>63</v>
      </c>
      <c r="AO101" s="31"/>
      <c r="AP101" s="31"/>
      <c r="AQ101" t="s">
        <v>63</v>
      </c>
      <c r="AR101" s="11">
        <f t="shared" si="17"/>
        <v>1.0069826775882906</v>
      </c>
    </row>
    <row r="102" spans="1:44" x14ac:dyDescent="0.3">
      <c r="A102" s="8" t="s">
        <v>648</v>
      </c>
      <c r="B102" s="30" t="s">
        <v>649</v>
      </c>
      <c r="C102" s="23">
        <v>1</v>
      </c>
      <c r="D102" s="21">
        <v>5156</v>
      </c>
      <c r="E102" s="8" t="s">
        <v>42</v>
      </c>
      <c r="F102" t="s">
        <v>673</v>
      </c>
      <c r="G102">
        <v>1</v>
      </c>
      <c r="H102" s="13" t="s">
        <v>47</v>
      </c>
      <c r="I102" s="17">
        <v>46013</v>
      </c>
      <c r="J102" s="2" t="s">
        <v>48</v>
      </c>
      <c r="K102" s="19">
        <f t="shared" ca="1" si="9"/>
        <v>16</v>
      </c>
      <c r="L102" t="s">
        <v>386</v>
      </c>
      <c r="M102" t="s">
        <v>660</v>
      </c>
      <c r="N102" t="s">
        <v>629</v>
      </c>
      <c r="O102" s="11">
        <v>1</v>
      </c>
      <c r="P102" t="s">
        <v>63</v>
      </c>
      <c r="Q102" t="s">
        <v>661</v>
      </c>
      <c r="R102" s="11">
        <v>10</v>
      </c>
      <c r="S102" s="2" t="s">
        <v>99</v>
      </c>
      <c r="T102" t="s">
        <v>63</v>
      </c>
      <c r="U102" t="s">
        <v>662</v>
      </c>
      <c r="V102" s="2" t="s">
        <v>289</v>
      </c>
      <c r="W102" t="s">
        <v>76</v>
      </c>
      <c r="X102" t="s">
        <v>663</v>
      </c>
      <c r="Y102" t="s">
        <v>63</v>
      </c>
      <c r="Z102" s="11">
        <v>7</v>
      </c>
      <c r="AA102" s="11">
        <v>2</v>
      </c>
      <c r="AB102" s="11">
        <v>0</v>
      </c>
      <c r="AC102" s="11">
        <f t="shared" si="10"/>
        <v>9</v>
      </c>
      <c r="AD102" s="20">
        <f t="shared" si="11"/>
        <v>1.7455391776570986E-3</v>
      </c>
      <c r="AE102" s="11">
        <f t="shared" si="12"/>
        <v>1.7455391776570985</v>
      </c>
      <c r="AF102" s="11">
        <f t="shared" si="13"/>
        <v>3.8789759503491075E-2</v>
      </c>
      <c r="AG102" s="11">
        <f t="shared" si="14"/>
        <v>0</v>
      </c>
      <c r="AH102" s="11">
        <f t="shared" si="15"/>
        <v>0.2857142857142857</v>
      </c>
      <c r="AI102" t="s">
        <v>63</v>
      </c>
      <c r="AJ102" t="s">
        <v>63</v>
      </c>
      <c r="AK102" t="s">
        <v>1005</v>
      </c>
      <c r="AL102" t="s">
        <v>231</v>
      </c>
      <c r="AM102" t="str">
        <f t="shared" si="16"/>
        <v>Monday</v>
      </c>
      <c r="AN102" t="s">
        <v>63</v>
      </c>
      <c r="AO102" s="31" t="s">
        <v>90</v>
      </c>
      <c r="AP102" s="31" t="s">
        <v>386</v>
      </c>
      <c r="AQ102" t="s">
        <v>62</v>
      </c>
      <c r="AR102" s="11">
        <f t="shared" si="17"/>
        <v>1.004834161407278</v>
      </c>
    </row>
    <row r="103" spans="1:44" x14ac:dyDescent="0.3">
      <c r="A103" s="8" t="s">
        <v>648</v>
      </c>
      <c r="B103" s="30"/>
      <c r="C103" s="23">
        <v>1</v>
      </c>
      <c r="D103" s="21">
        <v>5156</v>
      </c>
      <c r="E103" s="8" t="s">
        <v>42</v>
      </c>
      <c r="F103" t="s">
        <v>674</v>
      </c>
      <c r="G103">
        <v>2</v>
      </c>
      <c r="H103" s="13" t="s">
        <v>47</v>
      </c>
      <c r="I103" s="17">
        <v>46012</v>
      </c>
      <c r="J103" s="2" t="s">
        <v>48</v>
      </c>
      <c r="K103" s="19">
        <f t="shared" ca="1" si="9"/>
        <v>17</v>
      </c>
      <c r="L103" t="s">
        <v>386</v>
      </c>
      <c r="M103" t="s">
        <v>664</v>
      </c>
      <c r="N103" t="s">
        <v>629</v>
      </c>
      <c r="O103" s="11">
        <v>1</v>
      </c>
      <c r="P103" t="s">
        <v>63</v>
      </c>
      <c r="Q103" t="s">
        <v>665</v>
      </c>
      <c r="R103" s="11">
        <v>15</v>
      </c>
      <c r="S103" s="2" t="s">
        <v>99</v>
      </c>
      <c r="T103" t="s">
        <v>63</v>
      </c>
      <c r="U103" t="s">
        <v>662</v>
      </c>
      <c r="V103" t="s">
        <v>141</v>
      </c>
      <c r="W103" t="s">
        <v>76</v>
      </c>
      <c r="X103" t="s">
        <v>663</v>
      </c>
      <c r="Y103" t="s">
        <v>62</v>
      </c>
      <c r="Z103" s="11">
        <v>11</v>
      </c>
      <c r="AA103" s="11">
        <v>3</v>
      </c>
      <c r="AB103" s="11">
        <v>0</v>
      </c>
      <c r="AC103" s="11">
        <f t="shared" si="10"/>
        <v>14</v>
      </c>
      <c r="AD103" s="20">
        <f t="shared" si="11"/>
        <v>2.7152831652443757E-3</v>
      </c>
      <c r="AE103" s="11">
        <f t="shared" si="12"/>
        <v>2.7152831652443759</v>
      </c>
      <c r="AF103" s="11">
        <f t="shared" si="13"/>
        <v>5.818463925523662E-2</v>
      </c>
      <c r="AG103" s="11">
        <f t="shared" si="14"/>
        <v>0</v>
      </c>
      <c r="AH103" s="11">
        <f t="shared" si="15"/>
        <v>0.27272727272727271</v>
      </c>
      <c r="AI103" t="s">
        <v>63</v>
      </c>
      <c r="AJ103" t="s">
        <v>63</v>
      </c>
      <c r="AK103" t="s">
        <v>1006</v>
      </c>
      <c r="AL103" t="s">
        <v>265</v>
      </c>
      <c r="AM103" t="str">
        <f t="shared" si="16"/>
        <v>Sunday</v>
      </c>
      <c r="AN103" t="s">
        <v>63</v>
      </c>
      <c r="AO103" s="31"/>
      <c r="AP103" s="31"/>
      <c r="AQ103" t="s">
        <v>62</v>
      </c>
      <c r="AR103" s="11">
        <f t="shared" si="17"/>
        <v>1.0075198066335438</v>
      </c>
    </row>
    <row r="104" spans="1:44" x14ac:dyDescent="0.3">
      <c r="A104" s="8" t="s">
        <v>648</v>
      </c>
      <c r="B104" s="30"/>
      <c r="C104" s="23">
        <v>1</v>
      </c>
      <c r="D104" s="21">
        <v>5156</v>
      </c>
      <c r="E104" s="8" t="s">
        <v>42</v>
      </c>
      <c r="F104" t="s">
        <v>675</v>
      </c>
      <c r="G104">
        <v>3</v>
      </c>
      <c r="H104" s="13" t="s">
        <v>47</v>
      </c>
      <c r="I104" s="17">
        <v>45981</v>
      </c>
      <c r="J104" s="2" t="s">
        <v>48</v>
      </c>
      <c r="K104" s="19">
        <f t="shared" ca="1" si="9"/>
        <v>48</v>
      </c>
      <c r="L104" t="s">
        <v>666</v>
      </c>
      <c r="M104" t="s">
        <v>667</v>
      </c>
      <c r="N104" t="s">
        <v>58</v>
      </c>
      <c r="O104" s="11">
        <v>1</v>
      </c>
      <c r="P104" t="s">
        <v>63</v>
      </c>
      <c r="Q104" t="s">
        <v>668</v>
      </c>
      <c r="R104" s="11">
        <v>34</v>
      </c>
      <c r="S104" s="2" t="s">
        <v>99</v>
      </c>
      <c r="T104" t="s">
        <v>63</v>
      </c>
      <c r="U104" t="s">
        <v>340</v>
      </c>
      <c r="V104" t="s">
        <v>141</v>
      </c>
      <c r="W104" t="s">
        <v>76</v>
      </c>
      <c r="X104" t="s">
        <v>362</v>
      </c>
      <c r="Y104" t="s">
        <v>62</v>
      </c>
      <c r="Z104" s="11">
        <v>11</v>
      </c>
      <c r="AA104" s="11">
        <v>6</v>
      </c>
      <c r="AB104" s="11">
        <v>0</v>
      </c>
      <c r="AC104" s="11">
        <f t="shared" si="10"/>
        <v>17</v>
      </c>
      <c r="AD104" s="20">
        <f t="shared" si="11"/>
        <v>3.2971295577967417E-3</v>
      </c>
      <c r="AE104" s="11">
        <f t="shared" si="12"/>
        <v>3.2971295577967417</v>
      </c>
      <c r="AF104" s="11">
        <f t="shared" si="13"/>
        <v>0.11636927851047324</v>
      </c>
      <c r="AG104" s="11">
        <f t="shared" si="14"/>
        <v>0</v>
      </c>
      <c r="AH104" s="11">
        <f t="shared" si="15"/>
        <v>0.54545454545454541</v>
      </c>
      <c r="AI104" t="s">
        <v>63</v>
      </c>
      <c r="AJ104" t="s">
        <v>63</v>
      </c>
      <c r="AK104" t="s">
        <v>1007</v>
      </c>
      <c r="AL104" t="s">
        <v>80</v>
      </c>
      <c r="AM104" t="str">
        <f t="shared" si="16"/>
        <v>Thursday</v>
      </c>
      <c r="AN104" t="s">
        <v>63</v>
      </c>
      <c r="AO104" s="31"/>
      <c r="AP104" s="31"/>
      <c r="AQ104" t="s">
        <v>62</v>
      </c>
      <c r="AR104" s="11">
        <f t="shared" si="17"/>
        <v>1.009131193769303</v>
      </c>
    </row>
    <row r="105" spans="1:44" x14ac:dyDescent="0.3">
      <c r="A105" s="8" t="s">
        <v>648</v>
      </c>
      <c r="B105" s="30"/>
      <c r="C105" s="23">
        <v>1</v>
      </c>
      <c r="D105" s="21">
        <v>5156</v>
      </c>
      <c r="E105" s="8" t="s">
        <v>42</v>
      </c>
      <c r="F105" t="s">
        <v>676</v>
      </c>
      <c r="G105">
        <v>4</v>
      </c>
      <c r="H105" s="13" t="s">
        <v>47</v>
      </c>
      <c r="I105" s="17">
        <v>45981</v>
      </c>
      <c r="J105" s="2" t="s">
        <v>48</v>
      </c>
      <c r="K105" s="19">
        <f t="shared" ca="1" si="9"/>
        <v>48</v>
      </c>
      <c r="L105" s="2" t="s">
        <v>90</v>
      </c>
      <c r="M105" t="s">
        <v>669</v>
      </c>
      <c r="N105" t="s">
        <v>58</v>
      </c>
      <c r="O105" s="11">
        <v>1</v>
      </c>
      <c r="P105" t="s">
        <v>63</v>
      </c>
      <c r="Q105" t="s">
        <v>670</v>
      </c>
      <c r="R105" s="11">
        <v>13</v>
      </c>
      <c r="S105" s="2" t="s">
        <v>99</v>
      </c>
      <c r="T105" t="s">
        <v>63</v>
      </c>
      <c r="U105" t="s">
        <v>671</v>
      </c>
      <c r="V105" t="s">
        <v>141</v>
      </c>
      <c r="W105" t="s">
        <v>142</v>
      </c>
      <c r="X105" t="s">
        <v>672</v>
      </c>
      <c r="Y105" t="s">
        <v>62</v>
      </c>
      <c r="Z105" s="11">
        <v>44</v>
      </c>
      <c r="AA105" s="11">
        <v>18</v>
      </c>
      <c r="AB105" s="11">
        <v>1</v>
      </c>
      <c r="AC105" s="11">
        <f t="shared" si="10"/>
        <v>63</v>
      </c>
      <c r="AD105" s="20">
        <f t="shared" si="11"/>
        <v>1.2218774243599689E-2</v>
      </c>
      <c r="AE105" s="11">
        <f t="shared" si="12"/>
        <v>12.21877424359969</v>
      </c>
      <c r="AF105" s="11">
        <f t="shared" si="13"/>
        <v>0.34910783553141972</v>
      </c>
      <c r="AG105" s="11">
        <f t="shared" si="14"/>
        <v>1.9394879751745538E-2</v>
      </c>
      <c r="AH105" s="11">
        <f t="shared" si="15"/>
        <v>0.40909090909090912</v>
      </c>
      <c r="AI105" t="s">
        <v>63</v>
      </c>
      <c r="AJ105" t="s">
        <v>63</v>
      </c>
      <c r="AK105" t="s">
        <v>166</v>
      </c>
      <c r="AL105" t="s">
        <v>231</v>
      </c>
      <c r="AM105" t="str">
        <f t="shared" si="16"/>
        <v>Thursday</v>
      </c>
      <c r="AN105" t="s">
        <v>63</v>
      </c>
      <c r="AO105" s="31"/>
      <c r="AP105" s="31"/>
      <c r="AQ105" t="s">
        <v>62</v>
      </c>
      <c r="AR105" s="11">
        <f t="shared" si="17"/>
        <v>1.0338391298509466</v>
      </c>
    </row>
    <row r="106" spans="1:44" x14ac:dyDescent="0.3">
      <c r="A106" s="8" t="s">
        <v>650</v>
      </c>
      <c r="B106" s="30" t="s">
        <v>651</v>
      </c>
      <c r="C106" s="23">
        <v>1</v>
      </c>
      <c r="D106" s="21">
        <v>10171</v>
      </c>
      <c r="E106" s="8" t="s">
        <v>42</v>
      </c>
      <c r="F106" t="s">
        <v>677</v>
      </c>
      <c r="G106">
        <v>1</v>
      </c>
      <c r="H106" s="13" t="s">
        <v>47</v>
      </c>
      <c r="I106" s="17">
        <v>46013</v>
      </c>
      <c r="J106" s="2" t="s">
        <v>48</v>
      </c>
      <c r="K106" s="19">
        <f t="shared" ca="1" si="9"/>
        <v>16</v>
      </c>
      <c r="L106" t="s">
        <v>585</v>
      </c>
      <c r="M106" s="2" t="s">
        <v>90</v>
      </c>
      <c r="N106" t="s">
        <v>58</v>
      </c>
      <c r="O106" s="11">
        <v>1</v>
      </c>
      <c r="P106" t="s">
        <v>62</v>
      </c>
      <c r="Q106" t="s">
        <v>681</v>
      </c>
      <c r="R106" s="11">
        <v>16</v>
      </c>
      <c r="S106" s="2" t="s">
        <v>99</v>
      </c>
      <c r="T106" t="s">
        <v>62</v>
      </c>
      <c r="U106" t="s">
        <v>173</v>
      </c>
      <c r="V106" t="s">
        <v>173</v>
      </c>
      <c r="W106" t="s">
        <v>173</v>
      </c>
      <c r="X106" t="s">
        <v>173</v>
      </c>
      <c r="Y106" t="s">
        <v>62</v>
      </c>
      <c r="Z106" s="11">
        <v>17</v>
      </c>
      <c r="AA106" s="11">
        <v>22</v>
      </c>
      <c r="AB106" s="11">
        <v>1</v>
      </c>
      <c r="AC106" s="11">
        <f t="shared" si="10"/>
        <v>40</v>
      </c>
      <c r="AD106" s="20">
        <f t="shared" si="11"/>
        <v>3.9327499754203124E-3</v>
      </c>
      <c r="AE106" s="11">
        <f t="shared" si="12"/>
        <v>3.9327499754203123</v>
      </c>
      <c r="AF106" s="11">
        <f t="shared" si="13"/>
        <v>0.2163012486481172</v>
      </c>
      <c r="AG106" s="11">
        <f t="shared" si="14"/>
        <v>9.8318749385507814E-3</v>
      </c>
      <c r="AH106" s="11">
        <f t="shared" si="15"/>
        <v>1.2941176470588236</v>
      </c>
      <c r="AI106" t="s">
        <v>63</v>
      </c>
      <c r="AJ106" t="s">
        <v>63</v>
      </c>
      <c r="AK106" t="s">
        <v>1008</v>
      </c>
      <c r="AL106" t="s">
        <v>71</v>
      </c>
      <c r="AM106" t="str">
        <f t="shared" si="16"/>
        <v>Monday</v>
      </c>
      <c r="AN106" t="s">
        <v>63</v>
      </c>
      <c r="AO106" s="31" t="s">
        <v>585</v>
      </c>
      <c r="AP106" s="31" t="s">
        <v>90</v>
      </c>
      <c r="AQ106" t="s">
        <v>63</v>
      </c>
      <c r="AR106" s="11">
        <f t="shared" si="17"/>
        <v>1.0214851618101248</v>
      </c>
    </row>
    <row r="107" spans="1:44" x14ac:dyDescent="0.3">
      <c r="A107" s="8" t="s">
        <v>650</v>
      </c>
      <c r="B107" s="30"/>
      <c r="C107" s="23">
        <v>1</v>
      </c>
      <c r="D107" s="21">
        <v>10171</v>
      </c>
      <c r="E107" s="8" t="s">
        <v>42</v>
      </c>
      <c r="F107" t="s">
        <v>678</v>
      </c>
      <c r="G107">
        <v>2</v>
      </c>
      <c r="H107" s="13" t="s">
        <v>47</v>
      </c>
      <c r="I107" s="17">
        <v>46013</v>
      </c>
      <c r="J107" s="2" t="s">
        <v>48</v>
      </c>
      <c r="K107" s="19">
        <f t="shared" ca="1" si="9"/>
        <v>16</v>
      </c>
      <c r="L107" t="s">
        <v>71</v>
      </c>
      <c r="M107" t="s">
        <v>55</v>
      </c>
      <c r="N107" t="s">
        <v>58</v>
      </c>
      <c r="O107" s="11">
        <v>1</v>
      </c>
      <c r="P107" t="s">
        <v>62</v>
      </c>
      <c r="Q107" t="s">
        <v>682</v>
      </c>
      <c r="R107" s="11">
        <v>13</v>
      </c>
      <c r="S107" s="2" t="s">
        <v>61</v>
      </c>
      <c r="T107" t="s">
        <v>63</v>
      </c>
      <c r="U107" t="s">
        <v>683</v>
      </c>
      <c r="V107" t="s">
        <v>141</v>
      </c>
      <c r="W107" t="s">
        <v>76</v>
      </c>
      <c r="X107" t="s">
        <v>684</v>
      </c>
      <c r="Y107" t="s">
        <v>63</v>
      </c>
      <c r="Z107" s="11">
        <v>11</v>
      </c>
      <c r="AA107" s="11">
        <v>4</v>
      </c>
      <c r="AB107" s="11">
        <v>1</v>
      </c>
      <c r="AC107" s="11">
        <f t="shared" si="10"/>
        <v>16</v>
      </c>
      <c r="AD107" s="20">
        <f t="shared" si="11"/>
        <v>1.5730999901681251E-3</v>
      </c>
      <c r="AE107" s="11">
        <f t="shared" si="12"/>
        <v>1.5730999901681251</v>
      </c>
      <c r="AF107" s="11">
        <f t="shared" si="13"/>
        <v>3.9327499754203125E-2</v>
      </c>
      <c r="AG107" s="11">
        <f t="shared" si="14"/>
        <v>9.8318749385507814E-3</v>
      </c>
      <c r="AH107" s="11">
        <f t="shared" si="15"/>
        <v>0.36363636363636365</v>
      </c>
      <c r="AI107" t="s">
        <v>63</v>
      </c>
      <c r="AJ107" t="s">
        <v>63</v>
      </c>
      <c r="AK107" t="s">
        <v>1009</v>
      </c>
      <c r="AL107" t="s">
        <v>265</v>
      </c>
      <c r="AM107" t="str">
        <f t="shared" si="16"/>
        <v>Monday</v>
      </c>
      <c r="AN107" t="s">
        <v>63</v>
      </c>
      <c r="AO107" s="31"/>
      <c r="AP107" s="31"/>
      <c r="AQ107" t="s">
        <v>63</v>
      </c>
      <c r="AR107" s="11">
        <f t="shared" si="17"/>
        <v>1.0085940647240499</v>
      </c>
    </row>
    <row r="108" spans="1:44" x14ac:dyDescent="0.3">
      <c r="A108" s="8" t="s">
        <v>650</v>
      </c>
      <c r="B108" s="30"/>
      <c r="C108" s="23">
        <v>1</v>
      </c>
      <c r="D108" s="21">
        <v>10171</v>
      </c>
      <c r="E108" s="8" t="s">
        <v>42</v>
      </c>
      <c r="F108" t="s">
        <v>679</v>
      </c>
      <c r="G108">
        <v>3</v>
      </c>
      <c r="H108" s="13" t="s">
        <v>47</v>
      </c>
      <c r="I108" s="17">
        <v>46012</v>
      </c>
      <c r="J108" s="2" t="s">
        <v>48</v>
      </c>
      <c r="K108" s="19">
        <f t="shared" ca="1" si="9"/>
        <v>17</v>
      </c>
      <c r="L108" t="s">
        <v>55</v>
      </c>
      <c r="M108" t="s">
        <v>685</v>
      </c>
      <c r="N108" t="s">
        <v>58</v>
      </c>
      <c r="O108" s="11">
        <v>1</v>
      </c>
      <c r="P108" t="s">
        <v>63</v>
      </c>
      <c r="Q108" t="s">
        <v>52</v>
      </c>
      <c r="R108" s="11">
        <v>10</v>
      </c>
      <c r="S108" s="2" t="s">
        <v>61</v>
      </c>
      <c r="T108" t="s">
        <v>63</v>
      </c>
      <c r="U108" t="s">
        <v>78</v>
      </c>
      <c r="V108" s="2" t="s">
        <v>289</v>
      </c>
      <c r="W108" t="s">
        <v>76</v>
      </c>
      <c r="X108" t="s">
        <v>686</v>
      </c>
      <c r="Y108" t="s">
        <v>63</v>
      </c>
      <c r="Z108" s="11">
        <v>8</v>
      </c>
      <c r="AA108" s="11">
        <v>4</v>
      </c>
      <c r="AB108" s="11">
        <v>0</v>
      </c>
      <c r="AC108" s="11">
        <f t="shared" si="10"/>
        <v>12</v>
      </c>
      <c r="AD108" s="20">
        <f t="shared" si="11"/>
        <v>1.1798249926260938E-3</v>
      </c>
      <c r="AE108" s="11">
        <f t="shared" si="12"/>
        <v>1.1798249926260937</v>
      </c>
      <c r="AF108" s="11">
        <f t="shared" si="13"/>
        <v>3.9327499754203125E-2</v>
      </c>
      <c r="AG108" s="11">
        <f t="shared" si="14"/>
        <v>0</v>
      </c>
      <c r="AH108" s="11">
        <f t="shared" si="15"/>
        <v>0.5</v>
      </c>
      <c r="AI108" t="s">
        <v>63</v>
      </c>
      <c r="AJ108" t="s">
        <v>63</v>
      </c>
      <c r="AK108" t="s">
        <v>1010</v>
      </c>
      <c r="AL108" t="s">
        <v>188</v>
      </c>
      <c r="AM108" t="str">
        <f t="shared" si="16"/>
        <v>Sunday</v>
      </c>
      <c r="AN108" t="s">
        <v>63</v>
      </c>
      <c r="AO108" s="31"/>
      <c r="AP108" s="31"/>
      <c r="AQ108" t="s">
        <v>63</v>
      </c>
      <c r="AR108" s="11">
        <f t="shared" si="17"/>
        <v>1.0064455485430375</v>
      </c>
    </row>
    <row r="109" spans="1:44" x14ac:dyDescent="0.3">
      <c r="A109" s="8" t="s">
        <v>650</v>
      </c>
      <c r="B109" s="30"/>
      <c r="C109" s="23">
        <v>1</v>
      </c>
      <c r="D109" s="21">
        <v>10171</v>
      </c>
      <c r="E109" s="8" t="s">
        <v>42</v>
      </c>
      <c r="F109" t="s">
        <v>680</v>
      </c>
      <c r="G109">
        <v>4</v>
      </c>
      <c r="H109" s="13" t="s">
        <v>47</v>
      </c>
      <c r="I109" s="17">
        <v>46011</v>
      </c>
      <c r="J109" s="2" t="s">
        <v>48</v>
      </c>
      <c r="K109" s="19">
        <f t="shared" ca="1" si="9"/>
        <v>18</v>
      </c>
      <c r="L109" t="s">
        <v>55</v>
      </c>
      <c r="M109" t="s">
        <v>687</v>
      </c>
      <c r="N109" t="s">
        <v>58</v>
      </c>
      <c r="O109" s="11">
        <v>1</v>
      </c>
      <c r="P109" t="s">
        <v>63</v>
      </c>
      <c r="Q109" t="s">
        <v>53</v>
      </c>
      <c r="R109" s="11">
        <v>27</v>
      </c>
      <c r="S109" s="2" t="s">
        <v>99</v>
      </c>
      <c r="T109" t="s">
        <v>63</v>
      </c>
      <c r="U109" t="s">
        <v>688</v>
      </c>
      <c r="V109" t="s">
        <v>141</v>
      </c>
      <c r="W109" t="s">
        <v>76</v>
      </c>
      <c r="X109" t="s">
        <v>689</v>
      </c>
      <c r="Y109" t="s">
        <v>62</v>
      </c>
      <c r="Z109" s="11">
        <v>17</v>
      </c>
      <c r="AA109" s="11">
        <v>7</v>
      </c>
      <c r="AB109" s="11">
        <v>2</v>
      </c>
      <c r="AC109" s="11">
        <f t="shared" si="10"/>
        <v>26</v>
      </c>
      <c r="AD109" s="20">
        <f t="shared" si="11"/>
        <v>2.5562874840232034E-3</v>
      </c>
      <c r="AE109" s="11">
        <f t="shared" si="12"/>
        <v>2.5562874840232035</v>
      </c>
      <c r="AF109" s="11">
        <f t="shared" si="13"/>
        <v>6.8823124569855468E-2</v>
      </c>
      <c r="AG109" s="11">
        <f t="shared" si="14"/>
        <v>1.9663749877101563E-2</v>
      </c>
      <c r="AH109" s="11">
        <f t="shared" si="15"/>
        <v>0.41176470588235292</v>
      </c>
      <c r="AI109" t="s">
        <v>63</v>
      </c>
      <c r="AJ109" t="s">
        <v>63</v>
      </c>
      <c r="AK109" t="s">
        <v>1011</v>
      </c>
      <c r="AL109" t="s">
        <v>71</v>
      </c>
      <c r="AM109" t="str">
        <f t="shared" si="16"/>
        <v>Saturday</v>
      </c>
      <c r="AN109" t="s">
        <v>63</v>
      </c>
      <c r="AO109" s="31"/>
      <c r="AP109" s="31"/>
      <c r="AQ109" t="s">
        <v>63</v>
      </c>
      <c r="AR109" s="11">
        <f t="shared" si="17"/>
        <v>1.0139653551765813</v>
      </c>
    </row>
    <row r="110" spans="1:44" x14ac:dyDescent="0.3">
      <c r="A110" s="8" t="s">
        <v>652</v>
      </c>
      <c r="B110" s="30" t="s">
        <v>653</v>
      </c>
      <c r="C110" s="23">
        <v>1</v>
      </c>
      <c r="D110" s="21">
        <v>16029</v>
      </c>
      <c r="E110" s="8" t="s">
        <v>42</v>
      </c>
      <c r="F110" t="s">
        <v>690</v>
      </c>
      <c r="G110">
        <v>1</v>
      </c>
      <c r="H110" s="13" t="s">
        <v>47</v>
      </c>
      <c r="I110" s="17">
        <v>46013</v>
      </c>
      <c r="J110" s="2" t="s">
        <v>48</v>
      </c>
      <c r="K110" s="19">
        <f t="shared" ca="1" si="9"/>
        <v>16</v>
      </c>
      <c r="L110" t="s">
        <v>52</v>
      </c>
      <c r="M110" t="s">
        <v>307</v>
      </c>
      <c r="N110" t="s">
        <v>57</v>
      </c>
      <c r="O110" s="11">
        <v>1</v>
      </c>
      <c r="P110" t="s">
        <v>62</v>
      </c>
      <c r="Q110" t="s">
        <v>693</v>
      </c>
      <c r="R110" s="11">
        <v>7</v>
      </c>
      <c r="S110" s="2" t="s">
        <v>99</v>
      </c>
      <c r="T110" t="s">
        <v>63</v>
      </c>
      <c r="U110" t="s">
        <v>694</v>
      </c>
      <c r="V110" t="s">
        <v>141</v>
      </c>
      <c r="W110" t="s">
        <v>142</v>
      </c>
      <c r="X110" t="s">
        <v>576</v>
      </c>
      <c r="Y110" t="s">
        <v>63</v>
      </c>
      <c r="Z110" s="11">
        <v>4</v>
      </c>
      <c r="AA110" s="11">
        <v>3</v>
      </c>
      <c r="AB110" s="11">
        <v>0</v>
      </c>
      <c r="AC110" s="11">
        <f t="shared" si="10"/>
        <v>7</v>
      </c>
      <c r="AD110" s="20">
        <f t="shared" si="11"/>
        <v>4.3670846590554619E-4</v>
      </c>
      <c r="AE110" s="11">
        <f t="shared" si="12"/>
        <v>0.43670846590554618</v>
      </c>
      <c r="AF110" s="11">
        <f t="shared" si="13"/>
        <v>1.8716077110237695E-2</v>
      </c>
      <c r="AG110" s="11">
        <f t="shared" si="14"/>
        <v>0</v>
      </c>
      <c r="AH110" s="11">
        <f t="shared" si="15"/>
        <v>0.75</v>
      </c>
      <c r="AI110" t="s">
        <v>63</v>
      </c>
      <c r="AJ110" t="s">
        <v>63</v>
      </c>
      <c r="AK110" t="s">
        <v>1012</v>
      </c>
      <c r="AL110" t="s">
        <v>695</v>
      </c>
      <c r="AM110" t="str">
        <f t="shared" si="16"/>
        <v>Monday</v>
      </c>
      <c r="AN110" t="s">
        <v>63</v>
      </c>
      <c r="AO110" s="31" t="s">
        <v>52</v>
      </c>
      <c r="AP110" s="31" t="s">
        <v>307</v>
      </c>
      <c r="AQ110" t="s">
        <v>63</v>
      </c>
      <c r="AR110" s="11">
        <f t="shared" si="17"/>
        <v>1.0037599033167719</v>
      </c>
    </row>
    <row r="111" spans="1:44" x14ac:dyDescent="0.3">
      <c r="A111" s="8" t="s">
        <v>652</v>
      </c>
      <c r="B111" s="30"/>
      <c r="C111" s="23">
        <v>1</v>
      </c>
      <c r="D111" s="21">
        <v>16029</v>
      </c>
      <c r="E111" s="8" t="s">
        <v>42</v>
      </c>
      <c r="F111" t="s">
        <v>691</v>
      </c>
      <c r="G111">
        <v>2</v>
      </c>
      <c r="H111" s="13" t="s">
        <v>47</v>
      </c>
      <c r="I111" s="17">
        <v>46011</v>
      </c>
      <c r="J111" s="2" t="s">
        <v>48</v>
      </c>
      <c r="K111" s="19">
        <f t="shared" ca="1" si="9"/>
        <v>18</v>
      </c>
      <c r="L111" t="s">
        <v>52</v>
      </c>
      <c r="M111" t="s">
        <v>307</v>
      </c>
      <c r="N111" t="s">
        <v>58</v>
      </c>
      <c r="O111" s="11">
        <v>1</v>
      </c>
      <c r="P111" t="s">
        <v>62</v>
      </c>
      <c r="Q111" t="s">
        <v>696</v>
      </c>
      <c r="R111" s="11">
        <v>5</v>
      </c>
      <c r="S111" s="2" t="s">
        <v>99</v>
      </c>
      <c r="T111" t="s">
        <v>63</v>
      </c>
      <c r="U111" t="s">
        <v>694</v>
      </c>
      <c r="V111" t="s">
        <v>141</v>
      </c>
      <c r="W111" t="s">
        <v>142</v>
      </c>
      <c r="X111" t="s">
        <v>697</v>
      </c>
      <c r="Y111" t="s">
        <v>63</v>
      </c>
      <c r="Z111" s="11">
        <v>4</v>
      </c>
      <c r="AA111" s="11">
        <v>1</v>
      </c>
      <c r="AB111" s="11">
        <v>0</v>
      </c>
      <c r="AC111" s="11">
        <f t="shared" si="10"/>
        <v>5</v>
      </c>
      <c r="AD111" s="20">
        <f t="shared" si="11"/>
        <v>3.1193461850396157E-4</v>
      </c>
      <c r="AE111" s="11">
        <f t="shared" si="12"/>
        <v>0.31193461850396159</v>
      </c>
      <c r="AF111" s="11">
        <f t="shared" si="13"/>
        <v>6.2386923700792308E-3</v>
      </c>
      <c r="AG111" s="11">
        <f t="shared" si="14"/>
        <v>0</v>
      </c>
      <c r="AH111" s="11">
        <f t="shared" si="15"/>
        <v>0.25</v>
      </c>
      <c r="AI111" t="s">
        <v>63</v>
      </c>
      <c r="AJ111" t="s">
        <v>63</v>
      </c>
      <c r="AK111" t="s">
        <v>1012</v>
      </c>
      <c r="AL111" t="s">
        <v>608</v>
      </c>
      <c r="AM111" t="str">
        <f t="shared" si="16"/>
        <v>Saturday</v>
      </c>
      <c r="AN111" t="s">
        <v>63</v>
      </c>
      <c r="AO111" s="31"/>
      <c r="AP111" s="31"/>
      <c r="AQ111" t="s">
        <v>63</v>
      </c>
      <c r="AR111" s="11">
        <f t="shared" si="17"/>
        <v>1.0026856452262656</v>
      </c>
    </row>
    <row r="112" spans="1:44" x14ac:dyDescent="0.3">
      <c r="A112" s="8" t="s">
        <v>652</v>
      </c>
      <c r="B112" s="30"/>
      <c r="C112" s="23">
        <v>1</v>
      </c>
      <c r="D112" s="21">
        <v>16029</v>
      </c>
      <c r="E112" s="8" t="s">
        <v>42</v>
      </c>
      <c r="F112" t="s">
        <v>692</v>
      </c>
      <c r="G112">
        <v>3</v>
      </c>
      <c r="H112" s="13" t="s">
        <v>47</v>
      </c>
      <c r="I112" s="17">
        <v>46009</v>
      </c>
      <c r="J112" s="2" t="s">
        <v>48</v>
      </c>
      <c r="K112" s="19">
        <f t="shared" ca="1" si="9"/>
        <v>20</v>
      </c>
      <c r="L112" t="s">
        <v>52</v>
      </c>
      <c r="M112" t="str">
        <f>$M$111</f>
        <v>Mindset Coaching</v>
      </c>
      <c r="N112" t="s">
        <v>57</v>
      </c>
      <c r="O112" s="11">
        <v>1</v>
      </c>
      <c r="P112" t="s">
        <v>62</v>
      </c>
      <c r="Q112" t="s">
        <v>698</v>
      </c>
      <c r="R112" s="11">
        <v>7</v>
      </c>
      <c r="S112" s="2" t="s">
        <v>99</v>
      </c>
      <c r="T112" t="s">
        <v>63</v>
      </c>
      <c r="U112" t="s">
        <v>694</v>
      </c>
      <c r="V112" t="s">
        <v>141</v>
      </c>
      <c r="W112" t="s">
        <v>142</v>
      </c>
      <c r="X112" t="s">
        <v>576</v>
      </c>
      <c r="Y112" t="s">
        <v>63</v>
      </c>
      <c r="Z112" s="11">
        <v>5</v>
      </c>
      <c r="AA112" s="11">
        <v>5</v>
      </c>
      <c r="AB112" s="11">
        <v>0</v>
      </c>
      <c r="AC112" s="11">
        <f t="shared" si="10"/>
        <v>10</v>
      </c>
      <c r="AD112" s="20">
        <f t="shared" si="11"/>
        <v>6.2386923700792315E-4</v>
      </c>
      <c r="AE112" s="11">
        <f t="shared" si="12"/>
        <v>0.62386923700792318</v>
      </c>
      <c r="AF112" s="11">
        <f t="shared" si="13"/>
        <v>3.1193461850396158E-2</v>
      </c>
      <c r="AG112" s="11">
        <f t="shared" si="14"/>
        <v>0</v>
      </c>
      <c r="AH112" s="11">
        <f t="shared" si="15"/>
        <v>1</v>
      </c>
      <c r="AI112" t="s">
        <v>63</v>
      </c>
      <c r="AJ112" t="s">
        <v>63</v>
      </c>
      <c r="AK112" t="s">
        <v>1012</v>
      </c>
      <c r="AL112" t="s">
        <v>699</v>
      </c>
      <c r="AM112" t="str">
        <f t="shared" si="16"/>
        <v>Thursday</v>
      </c>
      <c r="AN112" t="s">
        <v>63</v>
      </c>
      <c r="AO112" s="31"/>
      <c r="AP112" s="31"/>
      <c r="AQ112" t="s">
        <v>63</v>
      </c>
      <c r="AR112" s="11">
        <f t="shared" si="17"/>
        <v>1.0053712904525312</v>
      </c>
    </row>
    <row r="113" spans="1:44" x14ac:dyDescent="0.3">
      <c r="A113" s="8" t="s">
        <v>652</v>
      </c>
      <c r="B113" s="30"/>
      <c r="C113" s="23">
        <v>1</v>
      </c>
      <c r="D113" s="21">
        <v>16029</v>
      </c>
      <c r="E113" s="8" t="s">
        <v>42</v>
      </c>
      <c r="F113" t="s">
        <v>365</v>
      </c>
      <c r="G113">
        <v>4</v>
      </c>
      <c r="H113" s="13" t="s">
        <v>47</v>
      </c>
      <c r="I113" s="17">
        <v>46008</v>
      </c>
      <c r="J113" s="2" t="s">
        <v>48</v>
      </c>
      <c r="K113" s="19">
        <f t="shared" ca="1" si="9"/>
        <v>21</v>
      </c>
      <c r="L113" t="s">
        <v>52</v>
      </c>
      <c r="M113" t="str">
        <f>$M$111</f>
        <v>Mindset Coaching</v>
      </c>
      <c r="N113" t="s">
        <v>58</v>
      </c>
      <c r="O113" s="11">
        <v>1</v>
      </c>
      <c r="P113" t="s">
        <v>62</v>
      </c>
      <c r="Q113" t="s">
        <v>700</v>
      </c>
      <c r="R113" s="11">
        <v>5</v>
      </c>
      <c r="S113" s="2" t="s">
        <v>61</v>
      </c>
      <c r="T113" t="s">
        <v>63</v>
      </c>
      <c r="U113" t="s">
        <v>694</v>
      </c>
      <c r="V113" t="s">
        <v>141</v>
      </c>
      <c r="W113" t="s">
        <v>76</v>
      </c>
      <c r="X113" t="s">
        <v>576</v>
      </c>
      <c r="Y113" t="s">
        <v>63</v>
      </c>
      <c r="Z113" s="11">
        <v>6</v>
      </c>
      <c r="AA113" s="11">
        <v>5</v>
      </c>
      <c r="AB113" s="11">
        <v>0</v>
      </c>
      <c r="AC113" s="11">
        <f t="shared" si="10"/>
        <v>11</v>
      </c>
      <c r="AD113" s="20">
        <f t="shared" si="11"/>
        <v>6.8625616070871543E-4</v>
      </c>
      <c r="AE113" s="11">
        <f t="shared" si="12"/>
        <v>0.68625616070871542</v>
      </c>
      <c r="AF113" s="11">
        <f t="shared" si="13"/>
        <v>3.1193461850396158E-2</v>
      </c>
      <c r="AG113" s="11">
        <f t="shared" si="14"/>
        <v>0</v>
      </c>
      <c r="AH113" s="11">
        <f t="shared" si="15"/>
        <v>0.83333333333333337</v>
      </c>
      <c r="AI113" t="s">
        <v>63</v>
      </c>
      <c r="AJ113" t="s">
        <v>63</v>
      </c>
      <c r="AK113" t="s">
        <v>1012</v>
      </c>
      <c r="AL113" t="s">
        <v>235</v>
      </c>
      <c r="AM113" t="str">
        <f t="shared" si="16"/>
        <v>Wednesday</v>
      </c>
      <c r="AN113" t="s">
        <v>63</v>
      </c>
      <c r="AO113" s="31"/>
      <c r="AP113" s="31"/>
      <c r="AQ113" t="s">
        <v>63</v>
      </c>
      <c r="AR113" s="11">
        <f t="shared" si="17"/>
        <v>1.0059084194977843</v>
      </c>
    </row>
    <row r="114" spans="1:44" x14ac:dyDescent="0.3">
      <c r="A114" s="8" t="s">
        <v>654</v>
      </c>
      <c r="B114" s="30" t="s">
        <v>655</v>
      </c>
      <c r="C114" s="23">
        <v>10</v>
      </c>
      <c r="D114" s="21">
        <v>151092</v>
      </c>
      <c r="E114" s="8" t="s">
        <v>42</v>
      </c>
      <c r="F114" t="s">
        <v>570</v>
      </c>
      <c r="G114">
        <v>1</v>
      </c>
      <c r="H114" s="13" t="s">
        <v>47</v>
      </c>
      <c r="I114" s="17">
        <v>46013</v>
      </c>
      <c r="J114" s="2" t="s">
        <v>48</v>
      </c>
      <c r="K114" s="19">
        <f t="shared" ca="1" si="9"/>
        <v>16</v>
      </c>
      <c r="L114" t="s">
        <v>55</v>
      </c>
      <c r="M114" t="s">
        <v>703</v>
      </c>
      <c r="N114" t="s">
        <v>58</v>
      </c>
      <c r="O114" s="11">
        <v>1</v>
      </c>
      <c r="P114" t="s">
        <v>63</v>
      </c>
      <c r="Q114" t="s">
        <v>704</v>
      </c>
      <c r="R114" s="11">
        <v>17</v>
      </c>
      <c r="S114" s="2" t="s">
        <v>75</v>
      </c>
      <c r="T114" t="s">
        <v>63</v>
      </c>
      <c r="U114" t="s">
        <v>705</v>
      </c>
      <c r="V114" t="s">
        <v>141</v>
      </c>
      <c r="W114" t="s">
        <v>76</v>
      </c>
      <c r="X114" t="s">
        <v>706</v>
      </c>
      <c r="Y114" t="s">
        <v>62</v>
      </c>
      <c r="Z114" s="11">
        <v>12</v>
      </c>
      <c r="AA114" s="11">
        <v>3</v>
      </c>
      <c r="AB114" s="11">
        <v>4</v>
      </c>
      <c r="AC114" s="11">
        <f t="shared" si="10"/>
        <v>19</v>
      </c>
      <c r="AD114" s="20">
        <f t="shared" si="11"/>
        <v>1.2575119794562252E-4</v>
      </c>
      <c r="AE114" s="11">
        <f t="shared" si="12"/>
        <v>0.12575119794562253</v>
      </c>
      <c r="AF114" s="11">
        <f t="shared" si="13"/>
        <v>1.9855452307203556E-3</v>
      </c>
      <c r="AG114" s="11">
        <f t="shared" si="14"/>
        <v>2.6473936409604744E-3</v>
      </c>
      <c r="AH114" s="11">
        <f t="shared" si="15"/>
        <v>0.25</v>
      </c>
      <c r="AI114" t="s">
        <v>63</v>
      </c>
      <c r="AJ114" t="s">
        <v>63</v>
      </c>
      <c r="AK114" t="s">
        <v>1013</v>
      </c>
      <c r="AL114" t="s">
        <v>608</v>
      </c>
      <c r="AM114" t="str">
        <f t="shared" si="16"/>
        <v>Monday</v>
      </c>
      <c r="AN114" t="s">
        <v>63</v>
      </c>
      <c r="AO114" s="31" t="s">
        <v>90</v>
      </c>
      <c r="AP114" s="31" t="s">
        <v>90</v>
      </c>
      <c r="AQ114" t="s">
        <v>63</v>
      </c>
      <c r="AR114" s="11">
        <f t="shared" si="17"/>
        <v>1.0102054518598094</v>
      </c>
    </row>
    <row r="115" spans="1:44" x14ac:dyDescent="0.3">
      <c r="A115" s="8" t="s">
        <v>654</v>
      </c>
      <c r="B115" s="30"/>
      <c r="C115" s="23">
        <v>10</v>
      </c>
      <c r="D115" s="21">
        <v>151092</v>
      </c>
      <c r="E115" s="8" t="s">
        <v>42</v>
      </c>
      <c r="F115" t="s">
        <v>701</v>
      </c>
      <c r="G115">
        <v>2</v>
      </c>
      <c r="H115" s="13" t="s">
        <v>47</v>
      </c>
      <c r="I115" s="17">
        <v>46013</v>
      </c>
      <c r="J115" s="2" t="s">
        <v>48</v>
      </c>
      <c r="K115" s="19">
        <f t="shared" ca="1" si="9"/>
        <v>16</v>
      </c>
      <c r="L115" t="s">
        <v>55</v>
      </c>
      <c r="M115" t="s">
        <v>703</v>
      </c>
      <c r="N115" t="s">
        <v>58</v>
      </c>
      <c r="O115" s="11">
        <v>10</v>
      </c>
      <c r="P115" t="s">
        <v>63</v>
      </c>
      <c r="Q115" t="s">
        <v>707</v>
      </c>
      <c r="R115" s="11">
        <v>9</v>
      </c>
      <c r="S115" s="2" t="s">
        <v>75</v>
      </c>
      <c r="T115" t="s">
        <v>63</v>
      </c>
      <c r="U115" t="s">
        <v>694</v>
      </c>
      <c r="V115" t="s">
        <v>141</v>
      </c>
      <c r="W115" t="s">
        <v>76</v>
      </c>
      <c r="X115" t="s">
        <v>708</v>
      </c>
      <c r="Y115" t="s">
        <v>62</v>
      </c>
      <c r="Z115" s="11">
        <v>298</v>
      </c>
      <c r="AA115" s="11">
        <v>281</v>
      </c>
      <c r="AB115" s="11">
        <v>17</v>
      </c>
      <c r="AC115" s="11">
        <f t="shared" si="10"/>
        <v>596</v>
      </c>
      <c r="AD115" s="20">
        <f t="shared" si="11"/>
        <v>3.9446165250311069E-3</v>
      </c>
      <c r="AE115" s="11">
        <f t="shared" si="12"/>
        <v>3.9446165250311069</v>
      </c>
      <c r="AF115" s="11">
        <f t="shared" si="13"/>
        <v>0.18597940327747334</v>
      </c>
      <c r="AG115" s="11">
        <f t="shared" si="14"/>
        <v>1.1251422974082015E-2</v>
      </c>
      <c r="AH115" s="11">
        <f t="shared" si="15"/>
        <v>0.94295302013422821</v>
      </c>
      <c r="AI115" t="s">
        <v>63</v>
      </c>
      <c r="AJ115" t="s">
        <v>63</v>
      </c>
      <c r="AK115" t="s">
        <v>1013</v>
      </c>
      <c r="AL115" t="s">
        <v>235</v>
      </c>
      <c r="AM115" t="str">
        <f t="shared" si="16"/>
        <v>Monday</v>
      </c>
      <c r="AN115" t="s">
        <v>63</v>
      </c>
      <c r="AO115" s="31"/>
      <c r="AP115" s="31"/>
      <c r="AQ115" t="s">
        <v>63</v>
      </c>
      <c r="AR115" s="11">
        <f t="shared" si="17"/>
        <v>1.3201289109708607</v>
      </c>
    </row>
    <row r="116" spans="1:44" x14ac:dyDescent="0.3">
      <c r="A116" s="8" t="s">
        <v>654</v>
      </c>
      <c r="B116" s="30"/>
      <c r="C116" s="23">
        <v>10</v>
      </c>
      <c r="D116" s="21">
        <v>151092</v>
      </c>
      <c r="E116" s="8" t="s">
        <v>42</v>
      </c>
      <c r="F116" t="s">
        <v>85</v>
      </c>
      <c r="G116">
        <v>3</v>
      </c>
      <c r="H116" s="13" t="s">
        <v>47</v>
      </c>
      <c r="I116" s="17">
        <v>46013</v>
      </c>
      <c r="J116" s="2" t="s">
        <v>48</v>
      </c>
      <c r="K116" s="19">
        <f t="shared" ca="1" si="9"/>
        <v>16</v>
      </c>
      <c r="L116" t="s">
        <v>55</v>
      </c>
      <c r="M116" t="s">
        <v>709</v>
      </c>
      <c r="N116" t="s">
        <v>58</v>
      </c>
      <c r="O116" s="11">
        <v>1</v>
      </c>
      <c r="P116" t="s">
        <v>63</v>
      </c>
      <c r="Q116" t="s">
        <v>710</v>
      </c>
      <c r="R116" s="11">
        <v>11</v>
      </c>
      <c r="S116" s="2" t="s">
        <v>61</v>
      </c>
      <c r="T116" t="s">
        <v>63</v>
      </c>
      <c r="U116" t="s">
        <v>694</v>
      </c>
      <c r="V116" t="s">
        <v>141</v>
      </c>
      <c r="W116" t="s">
        <v>76</v>
      </c>
      <c r="X116" t="s">
        <v>708</v>
      </c>
      <c r="Y116" t="s">
        <v>63</v>
      </c>
      <c r="Z116" s="11">
        <v>23</v>
      </c>
      <c r="AA116" s="11">
        <v>17</v>
      </c>
      <c r="AB116" s="11">
        <v>6</v>
      </c>
      <c r="AC116" s="11">
        <f t="shared" si="10"/>
        <v>46</v>
      </c>
      <c r="AD116" s="20">
        <f t="shared" si="11"/>
        <v>3.0445026871045455E-4</v>
      </c>
      <c r="AE116" s="11">
        <f t="shared" si="12"/>
        <v>0.30445026871045455</v>
      </c>
      <c r="AF116" s="11">
        <f t="shared" si="13"/>
        <v>1.1251422974082015E-2</v>
      </c>
      <c r="AG116" s="11">
        <f t="shared" si="14"/>
        <v>3.9710904614407112E-3</v>
      </c>
      <c r="AH116" s="11">
        <f t="shared" si="15"/>
        <v>0.73913043478260865</v>
      </c>
      <c r="AI116" t="s">
        <v>63</v>
      </c>
      <c r="AJ116" t="s">
        <v>63</v>
      </c>
      <c r="AK116" t="s">
        <v>1014</v>
      </c>
      <c r="AL116" t="s">
        <v>188</v>
      </c>
      <c r="AM116" t="str">
        <f t="shared" si="16"/>
        <v>Monday</v>
      </c>
      <c r="AN116" t="s">
        <v>63</v>
      </c>
      <c r="AO116" s="31"/>
      <c r="AP116" s="31"/>
      <c r="AQ116" t="s">
        <v>63</v>
      </c>
      <c r="AR116" s="11">
        <f t="shared" si="17"/>
        <v>1.0247079360816436</v>
      </c>
    </row>
    <row r="117" spans="1:44" x14ac:dyDescent="0.3">
      <c r="A117" s="8" t="s">
        <v>654</v>
      </c>
      <c r="B117" s="30"/>
      <c r="C117" s="23">
        <v>10</v>
      </c>
      <c r="D117" s="21">
        <v>151092</v>
      </c>
      <c r="E117" s="8" t="s">
        <v>42</v>
      </c>
      <c r="F117" t="s">
        <v>702</v>
      </c>
      <c r="G117">
        <v>4</v>
      </c>
      <c r="H117" s="13" t="s">
        <v>47</v>
      </c>
      <c r="I117" s="17">
        <v>46013</v>
      </c>
      <c r="J117" s="2" t="s">
        <v>48</v>
      </c>
      <c r="K117" s="19">
        <f t="shared" ca="1" si="9"/>
        <v>16</v>
      </c>
      <c r="L117" t="s">
        <v>55</v>
      </c>
      <c r="M117" t="s">
        <v>110</v>
      </c>
      <c r="N117" t="s">
        <v>58</v>
      </c>
      <c r="O117" s="11">
        <v>1</v>
      </c>
      <c r="P117" t="s">
        <v>63</v>
      </c>
      <c r="Q117" t="s">
        <v>711</v>
      </c>
      <c r="R117" s="11">
        <v>12</v>
      </c>
      <c r="S117" s="2" t="s">
        <v>75</v>
      </c>
      <c r="T117" t="s">
        <v>63</v>
      </c>
      <c r="U117" t="s">
        <v>694</v>
      </c>
      <c r="V117" t="s">
        <v>141</v>
      </c>
      <c r="W117" t="s">
        <v>76</v>
      </c>
      <c r="X117" t="s">
        <v>708</v>
      </c>
      <c r="Y117" t="s">
        <v>62</v>
      </c>
      <c r="Z117" s="11">
        <v>422</v>
      </c>
      <c r="AA117" s="11">
        <v>229</v>
      </c>
      <c r="AB117" s="11">
        <v>25</v>
      </c>
      <c r="AC117" s="11">
        <f t="shared" si="10"/>
        <v>676</v>
      </c>
      <c r="AD117" s="20">
        <f t="shared" si="11"/>
        <v>4.4740952532232019E-3</v>
      </c>
      <c r="AE117" s="11">
        <f t="shared" si="12"/>
        <v>4.4740952532232017</v>
      </c>
      <c r="AF117" s="11">
        <f t="shared" si="13"/>
        <v>0.15156328594498716</v>
      </c>
      <c r="AG117" s="11">
        <f t="shared" si="14"/>
        <v>1.6546210256002964E-2</v>
      </c>
      <c r="AH117" s="11">
        <f t="shared" si="15"/>
        <v>0.54265402843601895</v>
      </c>
      <c r="AI117" t="s">
        <v>63</v>
      </c>
      <c r="AJ117" t="s">
        <v>63</v>
      </c>
      <c r="AK117" t="s">
        <v>782</v>
      </c>
      <c r="AL117" t="s">
        <v>712</v>
      </c>
      <c r="AM117" t="str">
        <f t="shared" si="16"/>
        <v>Monday</v>
      </c>
      <c r="AN117" t="s">
        <v>63</v>
      </c>
      <c r="AO117" s="31"/>
      <c r="AP117" s="31"/>
      <c r="AQ117" t="s">
        <v>63</v>
      </c>
      <c r="AR117" s="11">
        <f t="shared" si="17"/>
        <v>1.3630992345911106</v>
      </c>
    </row>
    <row r="118" spans="1:44" x14ac:dyDescent="0.3">
      <c r="A118" s="8" t="s">
        <v>656</v>
      </c>
      <c r="B118" s="30" t="s">
        <v>657</v>
      </c>
      <c r="C118" s="23">
        <v>10</v>
      </c>
      <c r="D118" s="21">
        <v>6589</v>
      </c>
      <c r="E118" s="8" t="s">
        <v>42</v>
      </c>
      <c r="F118" t="s">
        <v>713</v>
      </c>
      <c r="G118">
        <v>1</v>
      </c>
      <c r="H118" s="13" t="s">
        <v>47</v>
      </c>
      <c r="I118" s="17">
        <v>46010</v>
      </c>
      <c r="J118" s="2" t="s">
        <v>48</v>
      </c>
      <c r="K118" s="19">
        <f t="shared" ca="1" si="9"/>
        <v>19</v>
      </c>
      <c r="L118" t="s">
        <v>714</v>
      </c>
      <c r="M118" t="s">
        <v>715</v>
      </c>
      <c r="N118" t="s">
        <v>58</v>
      </c>
      <c r="O118" s="11">
        <v>1</v>
      </c>
      <c r="P118" t="s">
        <v>62</v>
      </c>
      <c r="Q118" t="s">
        <v>716</v>
      </c>
      <c r="R118" s="11">
        <v>14</v>
      </c>
      <c r="S118" s="2" t="s">
        <v>99</v>
      </c>
      <c r="T118" t="s">
        <v>62</v>
      </c>
      <c r="U118" t="s">
        <v>66</v>
      </c>
      <c r="V118" t="s">
        <v>173</v>
      </c>
      <c r="W118" t="s">
        <v>173</v>
      </c>
      <c r="X118" t="s">
        <v>173</v>
      </c>
      <c r="Y118" t="s">
        <v>62</v>
      </c>
      <c r="Z118" s="11">
        <v>7</v>
      </c>
      <c r="AA118" s="11">
        <v>1</v>
      </c>
      <c r="AB118" s="11">
        <v>0</v>
      </c>
      <c r="AC118" s="11">
        <f t="shared" si="10"/>
        <v>8</v>
      </c>
      <c r="AD118" s="20">
        <f t="shared" si="11"/>
        <v>1.2141447867658219E-3</v>
      </c>
      <c r="AE118" s="11">
        <f t="shared" si="12"/>
        <v>1.2141447867658219</v>
      </c>
      <c r="AF118" s="11">
        <f t="shared" si="13"/>
        <v>1.5176809834572773E-2</v>
      </c>
      <c r="AG118" s="11">
        <f t="shared" si="14"/>
        <v>0</v>
      </c>
      <c r="AH118" s="11">
        <f t="shared" si="15"/>
        <v>0.14285714285714285</v>
      </c>
      <c r="AI118" t="s">
        <v>63</v>
      </c>
      <c r="AJ118" t="s">
        <v>63</v>
      </c>
      <c r="AK118" t="s">
        <v>1015</v>
      </c>
      <c r="AL118" t="s">
        <v>231</v>
      </c>
      <c r="AM118" t="str">
        <f t="shared" si="16"/>
        <v>Friday</v>
      </c>
      <c r="AN118" t="s">
        <v>63</v>
      </c>
      <c r="AO118" s="31" t="s">
        <v>725</v>
      </c>
      <c r="AP118" s="31" t="s">
        <v>90</v>
      </c>
      <c r="AQ118" t="s">
        <v>63</v>
      </c>
      <c r="AR118" s="11">
        <f t="shared" si="17"/>
        <v>1.0042970323620251</v>
      </c>
    </row>
    <row r="119" spans="1:44" x14ac:dyDescent="0.3">
      <c r="A119" s="8" t="s">
        <v>656</v>
      </c>
      <c r="B119" s="30"/>
      <c r="C119" s="23">
        <v>10</v>
      </c>
      <c r="D119" s="21">
        <v>6589</v>
      </c>
      <c r="E119" s="8" t="s">
        <v>42</v>
      </c>
      <c r="F119" t="s">
        <v>570</v>
      </c>
      <c r="G119">
        <v>2</v>
      </c>
      <c r="H119" s="13" t="s">
        <v>47</v>
      </c>
      <c r="I119" s="17">
        <v>46008</v>
      </c>
      <c r="J119" s="2" t="s">
        <v>48</v>
      </c>
      <c r="K119" s="19">
        <f t="shared" ca="1" si="9"/>
        <v>21</v>
      </c>
      <c r="L119" t="s">
        <v>55</v>
      </c>
      <c r="M119" t="s">
        <v>717</v>
      </c>
      <c r="N119" t="s">
        <v>176</v>
      </c>
      <c r="O119" s="11">
        <v>1</v>
      </c>
      <c r="P119" t="s">
        <v>63</v>
      </c>
      <c r="Q119" t="s">
        <v>718</v>
      </c>
      <c r="R119" s="11">
        <v>10</v>
      </c>
      <c r="S119" t="s">
        <v>61</v>
      </c>
      <c r="T119" t="s">
        <v>63</v>
      </c>
      <c r="U119" t="s">
        <v>719</v>
      </c>
      <c r="V119" t="s">
        <v>141</v>
      </c>
      <c r="W119" t="s">
        <v>76</v>
      </c>
      <c r="X119" t="s">
        <v>720</v>
      </c>
      <c r="Y119" t="s">
        <v>62</v>
      </c>
      <c r="Z119" s="11">
        <v>3</v>
      </c>
      <c r="AA119" s="11">
        <v>1</v>
      </c>
      <c r="AB119" s="11">
        <v>0</v>
      </c>
      <c r="AC119" s="11">
        <f t="shared" si="10"/>
        <v>4</v>
      </c>
      <c r="AD119" s="20">
        <f t="shared" si="11"/>
        <v>6.0707239338291094E-4</v>
      </c>
      <c r="AE119" s="11">
        <f t="shared" si="12"/>
        <v>0.60707239338291097</v>
      </c>
      <c r="AF119" s="11">
        <f t="shared" si="13"/>
        <v>1.5176809834572773E-2</v>
      </c>
      <c r="AG119" s="11">
        <f t="shared" si="14"/>
        <v>0</v>
      </c>
      <c r="AH119" s="11">
        <f t="shared" si="15"/>
        <v>0.33333333333333331</v>
      </c>
      <c r="AI119" t="s">
        <v>63</v>
      </c>
      <c r="AJ119" t="s">
        <v>63</v>
      </c>
      <c r="AK119" t="s">
        <v>1016</v>
      </c>
      <c r="AL119" t="s">
        <v>235</v>
      </c>
      <c r="AM119" t="str">
        <f t="shared" si="16"/>
        <v>Wednesday</v>
      </c>
      <c r="AN119" t="s">
        <v>63</v>
      </c>
      <c r="AO119" s="31"/>
      <c r="AP119" s="31"/>
      <c r="AQ119" t="s">
        <v>63</v>
      </c>
      <c r="AR119" s="11">
        <f t="shared" si="17"/>
        <v>1.0021485161810124</v>
      </c>
    </row>
    <row r="120" spans="1:44" x14ac:dyDescent="0.3">
      <c r="A120" s="8" t="s">
        <v>656</v>
      </c>
      <c r="B120" s="30"/>
      <c r="C120" s="23">
        <v>10</v>
      </c>
      <c r="D120" s="21">
        <v>6589</v>
      </c>
      <c r="E120" s="8" t="s">
        <v>42</v>
      </c>
      <c r="F120" t="s">
        <v>85</v>
      </c>
      <c r="G120">
        <v>3</v>
      </c>
      <c r="H120" s="13" t="s">
        <v>47</v>
      </c>
      <c r="I120" s="17">
        <v>46008</v>
      </c>
      <c r="J120" s="2" t="s">
        <v>48</v>
      </c>
      <c r="K120" s="19">
        <f t="shared" ca="1" si="9"/>
        <v>21</v>
      </c>
      <c r="L120" t="s">
        <v>721</v>
      </c>
      <c r="M120" t="s">
        <v>703</v>
      </c>
      <c r="N120" t="s">
        <v>57</v>
      </c>
      <c r="O120" s="11">
        <v>1</v>
      </c>
      <c r="P120" t="s">
        <v>63</v>
      </c>
      <c r="Q120" t="s">
        <v>722</v>
      </c>
      <c r="R120" s="11">
        <v>7</v>
      </c>
      <c r="S120" s="2" t="s">
        <v>99</v>
      </c>
      <c r="T120" t="s">
        <v>63</v>
      </c>
      <c r="U120" t="s">
        <v>723</v>
      </c>
      <c r="V120" t="s">
        <v>173</v>
      </c>
      <c r="W120" t="s">
        <v>142</v>
      </c>
      <c r="X120" t="s">
        <v>724</v>
      </c>
      <c r="Y120" t="s">
        <v>62</v>
      </c>
      <c r="Z120" s="11">
        <v>5</v>
      </c>
      <c r="AA120" s="11">
        <v>0</v>
      </c>
      <c r="AB120" s="11">
        <v>0</v>
      </c>
      <c r="AC120" s="11">
        <f t="shared" si="10"/>
        <v>5</v>
      </c>
      <c r="AD120" s="20">
        <f t="shared" si="11"/>
        <v>7.5884049172863859E-4</v>
      </c>
      <c r="AE120" s="11">
        <f t="shared" si="12"/>
        <v>0.75884049172863854</v>
      </c>
      <c r="AF120" s="11">
        <f t="shared" si="13"/>
        <v>0</v>
      </c>
      <c r="AG120" s="11">
        <f t="shared" si="14"/>
        <v>0</v>
      </c>
      <c r="AH120" s="11">
        <f t="shared" si="15"/>
        <v>0</v>
      </c>
      <c r="AI120" t="s">
        <v>63</v>
      </c>
      <c r="AJ120" t="s">
        <v>63</v>
      </c>
      <c r="AK120" t="s">
        <v>1017</v>
      </c>
      <c r="AL120" t="s">
        <v>188</v>
      </c>
      <c r="AM120" t="str">
        <f t="shared" si="16"/>
        <v>Wednesday</v>
      </c>
      <c r="AN120" t="s">
        <v>63</v>
      </c>
      <c r="AO120" s="31"/>
      <c r="AP120" s="31"/>
      <c r="AQ120" t="s">
        <v>63</v>
      </c>
      <c r="AR120" s="11">
        <f t="shared" si="17"/>
        <v>1.0026856452262656</v>
      </c>
    </row>
    <row r="121" spans="1:44" x14ac:dyDescent="0.3">
      <c r="A121" s="8" t="s">
        <v>656</v>
      </c>
      <c r="B121" s="30"/>
      <c r="C121" s="23">
        <v>10</v>
      </c>
      <c r="D121" s="21">
        <v>6589</v>
      </c>
      <c r="E121" s="8" t="s">
        <v>42</v>
      </c>
      <c r="F121" t="s">
        <v>702</v>
      </c>
      <c r="G121">
        <v>4</v>
      </c>
      <c r="H121" s="13" t="s">
        <v>47</v>
      </c>
      <c r="I121" s="17">
        <v>45983</v>
      </c>
      <c r="J121" s="2" t="s">
        <v>48</v>
      </c>
      <c r="K121" s="19">
        <f t="shared" ca="1" si="9"/>
        <v>46</v>
      </c>
      <c r="L121" t="s">
        <v>725</v>
      </c>
      <c r="M121" t="s">
        <v>726</v>
      </c>
      <c r="N121" t="s">
        <v>58</v>
      </c>
      <c r="O121" s="11">
        <v>1</v>
      </c>
      <c r="P121" t="s">
        <v>63</v>
      </c>
      <c r="Q121" t="s">
        <v>727</v>
      </c>
      <c r="R121" s="11">
        <v>11</v>
      </c>
      <c r="S121" t="s">
        <v>61</v>
      </c>
      <c r="T121" t="s">
        <v>63</v>
      </c>
      <c r="U121" t="s">
        <v>728</v>
      </c>
      <c r="V121" t="s">
        <v>141</v>
      </c>
      <c r="W121" t="s">
        <v>142</v>
      </c>
      <c r="X121" t="s">
        <v>729</v>
      </c>
      <c r="Y121" t="s">
        <v>62</v>
      </c>
      <c r="Z121" s="11">
        <v>10</v>
      </c>
      <c r="AA121" s="11">
        <v>3</v>
      </c>
      <c r="AB121" s="11">
        <v>0</v>
      </c>
      <c r="AC121" s="11">
        <f t="shared" si="10"/>
        <v>13</v>
      </c>
      <c r="AD121" s="20">
        <f t="shared" si="11"/>
        <v>1.9729852784944606E-3</v>
      </c>
      <c r="AE121" s="11">
        <f t="shared" si="12"/>
        <v>1.9729852784944606</v>
      </c>
      <c r="AF121" s="11">
        <f t="shared" si="13"/>
        <v>4.5530429503718314E-2</v>
      </c>
      <c r="AG121" s="11">
        <f t="shared" si="14"/>
        <v>0</v>
      </c>
      <c r="AH121" s="11">
        <f t="shared" si="15"/>
        <v>0.3</v>
      </c>
      <c r="AI121" t="s">
        <v>63</v>
      </c>
      <c r="AJ121" t="s">
        <v>63</v>
      </c>
      <c r="AK121" t="s">
        <v>1018</v>
      </c>
      <c r="AL121" t="s">
        <v>81</v>
      </c>
      <c r="AM121" t="str">
        <f t="shared" si="16"/>
        <v>Saturday</v>
      </c>
      <c r="AN121" t="s">
        <v>63</v>
      </c>
      <c r="AO121" s="31"/>
      <c r="AP121" s="31"/>
      <c r="AQ121" t="s">
        <v>63</v>
      </c>
      <c r="AR121" s="11">
        <f t="shared" si="17"/>
        <v>1.0069826775882906</v>
      </c>
    </row>
    <row r="122" spans="1:44" x14ac:dyDescent="0.3">
      <c r="A122" s="8" t="s">
        <v>658</v>
      </c>
      <c r="B122" s="30" t="s">
        <v>659</v>
      </c>
      <c r="C122" s="23">
        <v>50</v>
      </c>
      <c r="D122" s="21">
        <v>2595</v>
      </c>
      <c r="E122" s="8" t="s">
        <v>42</v>
      </c>
      <c r="F122" t="s">
        <v>730</v>
      </c>
      <c r="G122">
        <v>1</v>
      </c>
      <c r="H122" s="13" t="s">
        <v>47</v>
      </c>
      <c r="I122" s="17">
        <v>46014</v>
      </c>
      <c r="J122" s="2" t="s">
        <v>48</v>
      </c>
      <c r="K122" s="19">
        <f t="shared" ca="1" si="9"/>
        <v>15</v>
      </c>
      <c r="L122" t="s">
        <v>52</v>
      </c>
      <c r="M122" t="s">
        <v>56</v>
      </c>
      <c r="N122" t="s">
        <v>629</v>
      </c>
      <c r="O122" s="11">
        <v>1</v>
      </c>
      <c r="P122" t="s">
        <v>63</v>
      </c>
      <c r="Q122" t="s">
        <v>731</v>
      </c>
      <c r="R122" s="11">
        <v>26</v>
      </c>
      <c r="S122" t="s">
        <v>61</v>
      </c>
      <c r="T122" t="s">
        <v>63</v>
      </c>
      <c r="U122" t="s">
        <v>732</v>
      </c>
      <c r="V122" t="s">
        <v>141</v>
      </c>
      <c r="W122" t="s">
        <v>142</v>
      </c>
      <c r="X122" t="s">
        <v>733</v>
      </c>
      <c r="Y122" t="s">
        <v>63</v>
      </c>
      <c r="Z122" s="11">
        <v>3</v>
      </c>
      <c r="AA122" s="11">
        <v>0</v>
      </c>
      <c r="AB122" s="11">
        <v>0</v>
      </c>
      <c r="AC122" s="11">
        <f t="shared" si="10"/>
        <v>3</v>
      </c>
      <c r="AD122" s="20">
        <f t="shared" si="11"/>
        <v>1.1560693641618498E-3</v>
      </c>
      <c r="AE122" s="11">
        <f t="shared" si="12"/>
        <v>1.1560693641618498</v>
      </c>
      <c r="AF122" s="11">
        <f t="shared" si="13"/>
        <v>0</v>
      </c>
      <c r="AG122" s="11">
        <f t="shared" si="14"/>
        <v>0</v>
      </c>
      <c r="AH122" s="11">
        <f t="shared" si="15"/>
        <v>0</v>
      </c>
      <c r="AI122" t="s">
        <v>63</v>
      </c>
      <c r="AJ122" t="s">
        <v>63</v>
      </c>
      <c r="AK122" t="s">
        <v>1019</v>
      </c>
      <c r="AL122" t="s">
        <v>734</v>
      </c>
      <c r="AM122" t="str">
        <f t="shared" si="16"/>
        <v>Tuesday</v>
      </c>
      <c r="AN122" t="s">
        <v>63</v>
      </c>
      <c r="AO122" s="31" t="s">
        <v>735</v>
      </c>
      <c r="AP122" s="31" t="s">
        <v>52</v>
      </c>
      <c r="AQ122" t="s">
        <v>62</v>
      </c>
      <c r="AR122" s="11">
        <f t="shared" si="17"/>
        <v>1.0016113871357593</v>
      </c>
    </row>
    <row r="123" spans="1:44" x14ac:dyDescent="0.3">
      <c r="A123" s="8" t="s">
        <v>658</v>
      </c>
      <c r="B123" s="30"/>
      <c r="C123" s="23">
        <v>50</v>
      </c>
      <c r="D123" s="21">
        <v>2595</v>
      </c>
      <c r="E123" s="8" t="s">
        <v>42</v>
      </c>
      <c r="F123" t="s">
        <v>365</v>
      </c>
      <c r="G123">
        <v>2</v>
      </c>
      <c r="H123" s="13" t="s">
        <v>47</v>
      </c>
      <c r="I123" s="17">
        <v>45994</v>
      </c>
      <c r="J123" s="2" t="s">
        <v>48</v>
      </c>
      <c r="K123" s="19">
        <f t="shared" ca="1" si="9"/>
        <v>35</v>
      </c>
      <c r="L123" t="s">
        <v>735</v>
      </c>
      <c r="M123" t="s">
        <v>736</v>
      </c>
      <c r="N123" t="s">
        <v>629</v>
      </c>
      <c r="O123" s="11">
        <v>1</v>
      </c>
      <c r="P123" t="s">
        <v>62</v>
      </c>
      <c r="Q123" t="s">
        <v>737</v>
      </c>
      <c r="R123" s="11">
        <v>12</v>
      </c>
      <c r="S123" s="2" t="s">
        <v>75</v>
      </c>
      <c r="T123" t="s">
        <v>63</v>
      </c>
      <c r="U123" t="s">
        <v>738</v>
      </c>
      <c r="V123" t="s">
        <v>141</v>
      </c>
      <c r="W123" t="s">
        <v>76</v>
      </c>
      <c r="X123" t="s">
        <v>739</v>
      </c>
      <c r="Y123" t="s">
        <v>62</v>
      </c>
      <c r="Z123" s="11">
        <v>7</v>
      </c>
      <c r="AA123" s="11">
        <v>0</v>
      </c>
      <c r="AB123" s="11">
        <v>0</v>
      </c>
      <c r="AC123" s="11">
        <f t="shared" si="10"/>
        <v>7</v>
      </c>
      <c r="AD123" s="20">
        <f t="shared" si="11"/>
        <v>2.6974951830443161E-3</v>
      </c>
      <c r="AE123" s="11">
        <f t="shared" si="12"/>
        <v>2.6974951830443161</v>
      </c>
      <c r="AF123" s="11">
        <f t="shared" si="13"/>
        <v>0</v>
      </c>
      <c r="AG123" s="11">
        <f t="shared" si="14"/>
        <v>0</v>
      </c>
      <c r="AH123" s="11">
        <f t="shared" si="15"/>
        <v>0</v>
      </c>
      <c r="AI123" t="s">
        <v>63</v>
      </c>
      <c r="AJ123" t="s">
        <v>63</v>
      </c>
      <c r="AK123" t="s">
        <v>1020</v>
      </c>
      <c r="AL123" t="s">
        <v>740</v>
      </c>
      <c r="AM123" t="str">
        <f t="shared" si="16"/>
        <v>Wednesday</v>
      </c>
      <c r="AN123" t="s">
        <v>63</v>
      </c>
      <c r="AO123" s="31"/>
      <c r="AP123" s="31"/>
      <c r="AQ123" t="s">
        <v>62</v>
      </c>
      <c r="AR123" s="11">
        <f t="shared" si="17"/>
        <v>1.0037599033167719</v>
      </c>
    </row>
    <row r="124" spans="1:44" x14ac:dyDescent="0.3">
      <c r="A124" s="8" t="s">
        <v>658</v>
      </c>
      <c r="B124" s="30"/>
      <c r="C124" s="23">
        <v>50</v>
      </c>
      <c r="D124" s="21">
        <v>2595</v>
      </c>
      <c r="E124" s="8" t="s">
        <v>42</v>
      </c>
      <c r="F124" t="s">
        <v>85</v>
      </c>
      <c r="G124">
        <v>3</v>
      </c>
      <c r="H124" s="13" t="s">
        <v>47</v>
      </c>
      <c r="I124" s="17">
        <v>45994</v>
      </c>
      <c r="J124" s="2" t="s">
        <v>48</v>
      </c>
      <c r="K124" s="19">
        <f t="shared" ca="1" si="9"/>
        <v>35</v>
      </c>
      <c r="L124" t="s">
        <v>735</v>
      </c>
      <c r="M124" t="s">
        <v>741</v>
      </c>
      <c r="N124" t="s">
        <v>629</v>
      </c>
      <c r="O124" s="11">
        <v>1</v>
      </c>
      <c r="P124" t="s">
        <v>63</v>
      </c>
      <c r="Q124" t="s">
        <v>742</v>
      </c>
      <c r="R124" s="11">
        <v>30</v>
      </c>
      <c r="S124" s="2" t="s">
        <v>75</v>
      </c>
      <c r="T124" t="s">
        <v>63</v>
      </c>
      <c r="U124" t="s">
        <v>743</v>
      </c>
      <c r="V124" t="s">
        <v>141</v>
      </c>
      <c r="W124" t="s">
        <v>142</v>
      </c>
      <c r="X124" t="s">
        <v>744</v>
      </c>
      <c r="Y124" t="s">
        <v>63</v>
      </c>
      <c r="Z124" s="11">
        <v>9</v>
      </c>
      <c r="AA124" s="11">
        <v>0</v>
      </c>
      <c r="AB124" s="11">
        <v>2</v>
      </c>
      <c r="AC124" s="11">
        <f t="shared" si="10"/>
        <v>11</v>
      </c>
      <c r="AD124" s="20">
        <f t="shared" si="11"/>
        <v>4.2389210019267822E-3</v>
      </c>
      <c r="AE124" s="11">
        <f t="shared" si="12"/>
        <v>4.2389210019267818</v>
      </c>
      <c r="AF124" s="11">
        <f t="shared" si="13"/>
        <v>0</v>
      </c>
      <c r="AG124" s="11">
        <f t="shared" si="14"/>
        <v>7.7071290944123322E-2</v>
      </c>
      <c r="AH124" s="11">
        <f t="shared" si="15"/>
        <v>0</v>
      </c>
      <c r="AI124" t="s">
        <v>63</v>
      </c>
      <c r="AJ124" t="s">
        <v>63</v>
      </c>
      <c r="AK124" t="s">
        <v>1021</v>
      </c>
      <c r="AL124" t="s">
        <v>745</v>
      </c>
      <c r="AM124" t="str">
        <f t="shared" si="16"/>
        <v>Wednesday</v>
      </c>
      <c r="AN124" t="s">
        <v>63</v>
      </c>
      <c r="AO124" s="31"/>
      <c r="AP124" s="31"/>
      <c r="AQ124" t="s">
        <v>62</v>
      </c>
      <c r="AR124" s="11">
        <f t="shared" si="17"/>
        <v>1.0059084194977843</v>
      </c>
    </row>
    <row r="125" spans="1:44" x14ac:dyDescent="0.3">
      <c r="A125" s="8" t="s">
        <v>658</v>
      </c>
      <c r="B125" s="30"/>
      <c r="C125" s="23">
        <v>50</v>
      </c>
      <c r="D125" s="21">
        <v>2595</v>
      </c>
      <c r="E125" s="8" t="s">
        <v>42</v>
      </c>
      <c r="F125" t="s">
        <v>690</v>
      </c>
      <c r="G125">
        <v>4</v>
      </c>
      <c r="H125" s="13" t="s">
        <v>47</v>
      </c>
      <c r="I125" s="17">
        <v>45994</v>
      </c>
      <c r="J125" s="2" t="s">
        <v>48</v>
      </c>
      <c r="K125" s="19">
        <f t="shared" ca="1" si="9"/>
        <v>35</v>
      </c>
      <c r="L125" t="s">
        <v>52</v>
      </c>
      <c r="M125" t="s">
        <v>746</v>
      </c>
      <c r="N125" t="s">
        <v>629</v>
      </c>
      <c r="O125" s="11">
        <v>1</v>
      </c>
      <c r="P125" t="s">
        <v>63</v>
      </c>
      <c r="Q125" t="s">
        <v>747</v>
      </c>
      <c r="R125" s="11">
        <v>30</v>
      </c>
      <c r="S125" s="2" t="s">
        <v>99</v>
      </c>
      <c r="T125" t="s">
        <v>63</v>
      </c>
      <c r="U125" t="s">
        <v>748</v>
      </c>
      <c r="V125" t="s">
        <v>141</v>
      </c>
      <c r="W125" t="s">
        <v>142</v>
      </c>
      <c r="X125" t="s">
        <v>749</v>
      </c>
      <c r="Y125" t="s">
        <v>62</v>
      </c>
      <c r="Z125" s="11">
        <v>4</v>
      </c>
      <c r="AA125" s="11">
        <v>0</v>
      </c>
      <c r="AB125" s="11">
        <v>1</v>
      </c>
      <c r="AC125" s="11">
        <f t="shared" si="10"/>
        <v>5</v>
      </c>
      <c r="AD125" s="20">
        <f t="shared" si="11"/>
        <v>1.9267822736030828E-3</v>
      </c>
      <c r="AE125" s="11">
        <f t="shared" si="12"/>
        <v>1.9267822736030829</v>
      </c>
      <c r="AF125" s="11">
        <f t="shared" si="13"/>
        <v>0</v>
      </c>
      <c r="AG125" s="11">
        <f t="shared" si="14"/>
        <v>3.8535645472061661E-2</v>
      </c>
      <c r="AH125" s="11">
        <f t="shared" si="15"/>
        <v>0</v>
      </c>
      <c r="AI125" t="s">
        <v>63</v>
      </c>
      <c r="AJ125" t="s">
        <v>63</v>
      </c>
      <c r="AK125" t="s">
        <v>1022</v>
      </c>
      <c r="AL125" t="s">
        <v>750</v>
      </c>
      <c r="AM125" t="str">
        <f t="shared" si="16"/>
        <v>Wednesday</v>
      </c>
      <c r="AN125" t="s">
        <v>63</v>
      </c>
      <c r="AO125" s="31"/>
      <c r="AP125" s="31"/>
      <c r="AQ125" t="s">
        <v>62</v>
      </c>
      <c r="AR125" s="11">
        <f t="shared" si="17"/>
        <v>1.0026856452262656</v>
      </c>
    </row>
    <row r="126" spans="1:44" x14ac:dyDescent="0.3">
      <c r="A126" s="8" t="s">
        <v>773</v>
      </c>
      <c r="B126" s="30" t="s">
        <v>774</v>
      </c>
      <c r="C126" s="23">
        <v>5</v>
      </c>
      <c r="D126" s="21">
        <v>31530</v>
      </c>
      <c r="E126" s="8" t="s">
        <v>42</v>
      </c>
      <c r="F126" t="s">
        <v>775</v>
      </c>
      <c r="G126">
        <v>1</v>
      </c>
      <c r="H126" s="13" t="s">
        <v>47</v>
      </c>
      <c r="I126" s="17">
        <v>46015</v>
      </c>
      <c r="J126" s="2" t="s">
        <v>89</v>
      </c>
      <c r="K126" s="19">
        <f t="shared" ca="1" si="9"/>
        <v>14</v>
      </c>
      <c r="L126" t="s">
        <v>55</v>
      </c>
      <c r="M126" t="s">
        <v>777</v>
      </c>
      <c r="N126" t="s">
        <v>58</v>
      </c>
      <c r="O126" s="11">
        <v>1</v>
      </c>
      <c r="P126" t="s">
        <v>63</v>
      </c>
      <c r="Q126" t="s">
        <v>778</v>
      </c>
      <c r="R126" s="11">
        <v>12</v>
      </c>
      <c r="S126" s="2" t="s">
        <v>75</v>
      </c>
      <c r="T126" t="s">
        <v>63</v>
      </c>
      <c r="U126" t="s">
        <v>779</v>
      </c>
      <c r="V126" t="s">
        <v>141</v>
      </c>
      <c r="W126" t="s">
        <v>142</v>
      </c>
      <c r="X126" t="s">
        <v>430</v>
      </c>
      <c r="Y126" t="s">
        <v>63</v>
      </c>
      <c r="Z126" s="11">
        <v>5</v>
      </c>
      <c r="AA126" s="11">
        <v>0</v>
      </c>
      <c r="AB126" s="11">
        <v>1</v>
      </c>
      <c r="AC126" s="11">
        <f t="shared" si="10"/>
        <v>6</v>
      </c>
      <c r="AD126" s="20">
        <f t="shared" si="11"/>
        <v>1.9029495718363463E-4</v>
      </c>
      <c r="AE126" s="11">
        <f t="shared" si="12"/>
        <v>0.19029495718363462</v>
      </c>
      <c r="AF126" s="11">
        <f t="shared" si="13"/>
        <v>0</v>
      </c>
      <c r="AG126" s="11">
        <f t="shared" si="14"/>
        <v>3.171582619727244E-3</v>
      </c>
      <c r="AH126" s="11">
        <f t="shared" si="15"/>
        <v>0</v>
      </c>
      <c r="AI126" t="s">
        <v>63</v>
      </c>
      <c r="AJ126" t="s">
        <v>63</v>
      </c>
      <c r="AK126" t="s">
        <v>1023</v>
      </c>
      <c r="AL126" t="s">
        <v>780</v>
      </c>
      <c r="AM126" t="str">
        <f t="shared" si="16"/>
        <v>Wednesday</v>
      </c>
      <c r="AN126" t="s">
        <v>63</v>
      </c>
      <c r="AO126" s="31" t="s">
        <v>90</v>
      </c>
      <c r="AP126" s="31" t="s">
        <v>90</v>
      </c>
      <c r="AQ126" t="s">
        <v>63</v>
      </c>
      <c r="AR126" s="11">
        <f t="shared" si="17"/>
        <v>1.0032227742715187</v>
      </c>
    </row>
    <row r="127" spans="1:44" x14ac:dyDescent="0.3">
      <c r="A127" s="8" t="s">
        <v>773</v>
      </c>
      <c r="B127" s="30"/>
      <c r="C127" s="23">
        <v>5</v>
      </c>
      <c r="D127" s="21">
        <v>31530</v>
      </c>
      <c r="E127" s="8" t="s">
        <v>42</v>
      </c>
      <c r="F127" t="s">
        <v>776</v>
      </c>
      <c r="G127">
        <v>2</v>
      </c>
      <c r="H127" s="13" t="s">
        <v>47</v>
      </c>
      <c r="I127" s="17">
        <v>46015</v>
      </c>
      <c r="J127" s="2" t="s">
        <v>89</v>
      </c>
      <c r="K127" s="19">
        <f t="shared" ca="1" si="9"/>
        <v>14</v>
      </c>
      <c r="L127" t="s">
        <v>55</v>
      </c>
      <c r="M127" t="s">
        <v>777</v>
      </c>
      <c r="N127" t="s">
        <v>58</v>
      </c>
      <c r="O127" s="11">
        <v>1</v>
      </c>
      <c r="P127" t="s">
        <v>63</v>
      </c>
      <c r="Q127" t="s">
        <v>778</v>
      </c>
      <c r="R127" s="11">
        <v>12</v>
      </c>
      <c r="S127" s="2" t="s">
        <v>75</v>
      </c>
      <c r="T127" t="s">
        <v>63</v>
      </c>
      <c r="U127" t="s">
        <v>779</v>
      </c>
      <c r="V127" t="s">
        <v>141</v>
      </c>
      <c r="W127" t="s">
        <v>142</v>
      </c>
      <c r="X127" t="s">
        <v>430</v>
      </c>
      <c r="Y127" t="s">
        <v>63</v>
      </c>
      <c r="Z127" s="11">
        <v>5</v>
      </c>
      <c r="AA127" s="11">
        <v>0</v>
      </c>
      <c r="AB127" s="11">
        <v>1</v>
      </c>
      <c r="AC127" s="11">
        <f t="shared" si="10"/>
        <v>6</v>
      </c>
      <c r="AD127" s="20">
        <f t="shared" si="11"/>
        <v>1.9029495718363463E-4</v>
      </c>
      <c r="AE127" s="11">
        <f t="shared" si="12"/>
        <v>0.19029495718363462</v>
      </c>
      <c r="AF127" s="11">
        <f t="shared" si="13"/>
        <v>0</v>
      </c>
      <c r="AG127" s="11">
        <f t="shared" si="14"/>
        <v>3.171582619727244E-3</v>
      </c>
      <c r="AH127" s="11">
        <f t="shared" si="15"/>
        <v>0</v>
      </c>
      <c r="AI127" t="s">
        <v>63</v>
      </c>
      <c r="AJ127" t="s">
        <v>63</v>
      </c>
      <c r="AK127" t="s">
        <v>1023</v>
      </c>
      <c r="AL127" t="s">
        <v>780</v>
      </c>
      <c r="AM127" t="str">
        <f t="shared" si="16"/>
        <v>Wednesday</v>
      </c>
      <c r="AN127" t="s">
        <v>63</v>
      </c>
      <c r="AO127" s="31"/>
      <c r="AP127" s="31"/>
      <c r="AQ127" t="s">
        <v>63</v>
      </c>
      <c r="AR127" s="11">
        <f t="shared" si="17"/>
        <v>1.0032227742715187</v>
      </c>
    </row>
    <row r="128" spans="1:44" x14ac:dyDescent="0.3">
      <c r="A128" s="8" t="s">
        <v>773</v>
      </c>
      <c r="B128" s="30"/>
      <c r="C128" s="23">
        <v>5</v>
      </c>
      <c r="D128" s="21">
        <v>31530</v>
      </c>
      <c r="E128" s="8" t="s">
        <v>42</v>
      </c>
      <c r="F128" t="s">
        <v>365</v>
      </c>
      <c r="G128">
        <v>3</v>
      </c>
      <c r="H128" s="13" t="s">
        <v>47</v>
      </c>
      <c r="I128" s="17">
        <v>46015</v>
      </c>
      <c r="J128" s="2" t="s">
        <v>89</v>
      </c>
      <c r="K128" s="19">
        <f t="shared" ca="1" si="9"/>
        <v>14</v>
      </c>
      <c r="L128" t="s">
        <v>55</v>
      </c>
      <c r="M128" t="s">
        <v>777</v>
      </c>
      <c r="N128" t="s">
        <v>58</v>
      </c>
      <c r="O128" s="11">
        <v>1</v>
      </c>
      <c r="P128" t="s">
        <v>63</v>
      </c>
      <c r="Q128" t="s">
        <v>778</v>
      </c>
      <c r="R128" s="11">
        <v>12</v>
      </c>
      <c r="S128" s="2" t="s">
        <v>75</v>
      </c>
      <c r="T128" t="s">
        <v>63</v>
      </c>
      <c r="U128" t="s">
        <v>779</v>
      </c>
      <c r="V128" t="s">
        <v>141</v>
      </c>
      <c r="W128" t="s">
        <v>142</v>
      </c>
      <c r="X128" t="s">
        <v>430</v>
      </c>
      <c r="Y128" t="s">
        <v>63</v>
      </c>
      <c r="Z128" s="11">
        <v>5</v>
      </c>
      <c r="AA128" s="11">
        <v>0</v>
      </c>
      <c r="AB128" s="11">
        <v>1</v>
      </c>
      <c r="AC128" s="11">
        <f t="shared" si="10"/>
        <v>6</v>
      </c>
      <c r="AD128" s="20">
        <f t="shared" si="11"/>
        <v>1.9029495718363463E-4</v>
      </c>
      <c r="AE128" s="11">
        <f t="shared" si="12"/>
        <v>0.19029495718363462</v>
      </c>
      <c r="AF128" s="11">
        <f t="shared" si="13"/>
        <v>0</v>
      </c>
      <c r="AG128" s="11">
        <f t="shared" si="14"/>
        <v>3.171582619727244E-3</v>
      </c>
      <c r="AH128" s="11">
        <f t="shared" si="15"/>
        <v>0</v>
      </c>
      <c r="AI128" t="s">
        <v>63</v>
      </c>
      <c r="AJ128" t="s">
        <v>63</v>
      </c>
      <c r="AK128" t="s">
        <v>1023</v>
      </c>
      <c r="AL128" t="s">
        <v>780</v>
      </c>
      <c r="AM128" t="str">
        <f t="shared" si="16"/>
        <v>Wednesday</v>
      </c>
      <c r="AN128" t="s">
        <v>63</v>
      </c>
      <c r="AO128" s="31"/>
      <c r="AP128" s="31"/>
      <c r="AQ128" t="s">
        <v>63</v>
      </c>
      <c r="AR128" s="11">
        <f t="shared" si="17"/>
        <v>1.0032227742715187</v>
      </c>
    </row>
    <row r="129" spans="1:44" x14ac:dyDescent="0.3">
      <c r="A129" s="8" t="s">
        <v>773</v>
      </c>
      <c r="B129" s="30"/>
      <c r="C129" s="23">
        <v>5</v>
      </c>
      <c r="D129" s="21">
        <v>31530</v>
      </c>
      <c r="E129" s="8" t="s">
        <v>42</v>
      </c>
      <c r="F129" t="s">
        <v>679</v>
      </c>
      <c r="G129">
        <v>4</v>
      </c>
      <c r="H129" s="13" t="s">
        <v>47</v>
      </c>
      <c r="I129" s="17">
        <v>46015</v>
      </c>
      <c r="J129" s="2" t="s">
        <v>89</v>
      </c>
      <c r="K129" s="19">
        <f t="shared" ca="1" si="9"/>
        <v>14</v>
      </c>
      <c r="L129" t="s">
        <v>55</v>
      </c>
      <c r="M129" t="s">
        <v>777</v>
      </c>
      <c r="N129" t="s">
        <v>58</v>
      </c>
      <c r="O129" s="11">
        <v>1</v>
      </c>
      <c r="P129" t="s">
        <v>63</v>
      </c>
      <c r="Q129" t="s">
        <v>778</v>
      </c>
      <c r="R129" s="11">
        <v>12</v>
      </c>
      <c r="S129" s="2" t="s">
        <v>75</v>
      </c>
      <c r="T129" t="s">
        <v>63</v>
      </c>
      <c r="U129" t="s">
        <v>779</v>
      </c>
      <c r="V129" t="s">
        <v>141</v>
      </c>
      <c r="W129" t="s">
        <v>142</v>
      </c>
      <c r="X129" t="s">
        <v>430</v>
      </c>
      <c r="Y129" t="s">
        <v>63</v>
      </c>
      <c r="Z129" s="11">
        <v>5</v>
      </c>
      <c r="AA129" s="11">
        <v>0</v>
      </c>
      <c r="AB129" s="11">
        <v>1</v>
      </c>
      <c r="AC129" s="11">
        <f t="shared" si="10"/>
        <v>6</v>
      </c>
      <c r="AD129" s="20">
        <f t="shared" si="11"/>
        <v>1.9029495718363463E-4</v>
      </c>
      <c r="AE129" s="11">
        <f t="shared" si="12"/>
        <v>0.19029495718363462</v>
      </c>
      <c r="AF129" s="11">
        <f t="shared" si="13"/>
        <v>0</v>
      </c>
      <c r="AG129" s="11">
        <f t="shared" si="14"/>
        <v>3.171582619727244E-3</v>
      </c>
      <c r="AH129" s="11">
        <f t="shared" si="15"/>
        <v>0</v>
      </c>
      <c r="AI129" t="s">
        <v>63</v>
      </c>
      <c r="AJ129" t="s">
        <v>63</v>
      </c>
      <c r="AK129" t="s">
        <v>1023</v>
      </c>
      <c r="AL129" t="s">
        <v>780</v>
      </c>
      <c r="AM129" t="str">
        <f t="shared" si="16"/>
        <v>Wednesday</v>
      </c>
      <c r="AN129" t="s">
        <v>63</v>
      </c>
      <c r="AO129" s="31"/>
      <c r="AP129" s="31"/>
      <c r="AQ129" t="s">
        <v>63</v>
      </c>
      <c r="AR129" s="11">
        <f t="shared" si="17"/>
        <v>1.0032227742715187</v>
      </c>
    </row>
    <row r="130" spans="1:44" x14ac:dyDescent="0.3">
      <c r="A130" s="8" t="s">
        <v>751</v>
      </c>
      <c r="B130" s="30" t="s">
        <v>752</v>
      </c>
      <c r="C130" s="23">
        <v>1</v>
      </c>
      <c r="D130" s="21">
        <v>622</v>
      </c>
      <c r="E130" s="8" t="s">
        <v>42</v>
      </c>
      <c r="F130" t="s">
        <v>781</v>
      </c>
      <c r="G130">
        <v>1</v>
      </c>
      <c r="H130" s="13" t="s">
        <v>47</v>
      </c>
      <c r="I130" s="17">
        <v>46011</v>
      </c>
      <c r="J130" s="2" t="s">
        <v>89</v>
      </c>
      <c r="K130" s="19">
        <f t="shared" ca="1" si="9"/>
        <v>18</v>
      </c>
      <c r="L130" t="s">
        <v>55</v>
      </c>
      <c r="M130" t="s">
        <v>782</v>
      </c>
      <c r="N130" t="s">
        <v>58</v>
      </c>
      <c r="O130" s="11">
        <v>1</v>
      </c>
      <c r="P130" t="s">
        <v>63</v>
      </c>
      <c r="Q130" t="s">
        <v>293</v>
      </c>
      <c r="R130" s="11">
        <v>11</v>
      </c>
      <c r="S130" s="2" t="s">
        <v>75</v>
      </c>
      <c r="T130" t="s">
        <v>63</v>
      </c>
      <c r="U130" t="s">
        <v>783</v>
      </c>
      <c r="V130" t="s">
        <v>141</v>
      </c>
      <c r="W130" t="s">
        <v>142</v>
      </c>
      <c r="X130" t="s">
        <v>784</v>
      </c>
      <c r="Y130" t="s">
        <v>63</v>
      </c>
      <c r="Z130" s="11">
        <v>2</v>
      </c>
      <c r="AA130" s="11">
        <v>0</v>
      </c>
      <c r="AB130" s="11">
        <v>0</v>
      </c>
      <c r="AC130" s="11">
        <f t="shared" si="10"/>
        <v>2</v>
      </c>
      <c r="AD130" s="20">
        <f t="shared" si="11"/>
        <v>3.2154340836012861E-3</v>
      </c>
      <c r="AE130" s="11">
        <f t="shared" si="12"/>
        <v>3.215434083601286</v>
      </c>
      <c r="AF130" s="11">
        <f t="shared" si="13"/>
        <v>0</v>
      </c>
      <c r="AG130" s="11">
        <f t="shared" si="14"/>
        <v>0</v>
      </c>
      <c r="AH130" s="11">
        <f t="shared" si="15"/>
        <v>0</v>
      </c>
      <c r="AI130" t="s">
        <v>63</v>
      </c>
      <c r="AJ130" t="s">
        <v>62</v>
      </c>
      <c r="AK130" t="s">
        <v>782</v>
      </c>
      <c r="AL130" t="s">
        <v>785</v>
      </c>
      <c r="AM130" t="str">
        <f t="shared" si="16"/>
        <v>Saturday</v>
      </c>
      <c r="AN130" t="s">
        <v>63</v>
      </c>
      <c r="AO130" s="31" t="s">
        <v>90</v>
      </c>
      <c r="AP130" s="31" t="s">
        <v>786</v>
      </c>
      <c r="AQ130" t="s">
        <v>62</v>
      </c>
      <c r="AR130" s="11">
        <f t="shared" si="17"/>
        <v>1.0010742580905063</v>
      </c>
    </row>
    <row r="131" spans="1:44" x14ac:dyDescent="0.3">
      <c r="A131" s="8" t="s">
        <v>751</v>
      </c>
      <c r="B131" s="30"/>
      <c r="C131" s="23">
        <v>1</v>
      </c>
      <c r="D131" s="21">
        <v>622</v>
      </c>
      <c r="E131" s="8" t="s">
        <v>42</v>
      </c>
      <c r="F131" t="s">
        <v>550</v>
      </c>
      <c r="G131">
        <v>2</v>
      </c>
      <c r="H131" s="13" t="s">
        <v>47</v>
      </c>
      <c r="I131" s="17">
        <v>46009</v>
      </c>
      <c r="J131" s="2" t="s">
        <v>89</v>
      </c>
      <c r="K131" s="19">
        <f t="shared" ref="K131:K182" ca="1" si="18">IF(ISNUMBER(I131), TODAY() - I131, "")</f>
        <v>20</v>
      </c>
      <c r="L131" t="s">
        <v>786</v>
      </c>
      <c r="M131" t="s">
        <v>166</v>
      </c>
      <c r="N131" t="s">
        <v>58</v>
      </c>
      <c r="O131" s="11">
        <v>1</v>
      </c>
      <c r="P131" t="s">
        <v>63</v>
      </c>
      <c r="Q131" t="s">
        <v>787</v>
      </c>
      <c r="R131" s="11">
        <v>8</v>
      </c>
      <c r="S131" s="2" t="s">
        <v>61</v>
      </c>
      <c r="T131" t="s">
        <v>63</v>
      </c>
      <c r="U131" t="s">
        <v>788</v>
      </c>
      <c r="V131" t="s">
        <v>141</v>
      </c>
      <c r="W131" t="s">
        <v>142</v>
      </c>
      <c r="X131" t="s">
        <v>789</v>
      </c>
      <c r="Y131" t="s">
        <v>62</v>
      </c>
      <c r="Z131" s="11">
        <v>1</v>
      </c>
      <c r="AA131" s="11">
        <v>0</v>
      </c>
      <c r="AB131" s="11">
        <v>0</v>
      </c>
      <c r="AC131" s="11">
        <f t="shared" ref="AC131:AC179" si="19">Z131+AA131+AB131</f>
        <v>1</v>
      </c>
      <c r="AD131" s="20">
        <f t="shared" ref="AD131:AD224" si="20" xml:space="preserve"> (AC131 / D131)</f>
        <v>1.6077170418006431E-3</v>
      </c>
      <c r="AE131" s="11">
        <f t="shared" ref="AE131:AE224" si="21">(AC131/D131)*1000</f>
        <v>1.607717041800643</v>
      </c>
      <c r="AF131" s="11">
        <f t="shared" ref="AF131:AF224" si="22">(AA131/D131)*100</f>
        <v>0</v>
      </c>
      <c r="AG131" s="11">
        <f t="shared" ref="AG131:AG161" si="23">(AB131/D131)*100</f>
        <v>0</v>
      </c>
      <c r="AH131" s="11">
        <f t="shared" ref="AH131:AH161" si="24">IF(Z131=0,0,AA131/Z131)</f>
        <v>0</v>
      </c>
      <c r="AI131" t="s">
        <v>62</v>
      </c>
      <c r="AJ131" t="s">
        <v>62</v>
      </c>
      <c r="AK131" t="s">
        <v>793</v>
      </c>
      <c r="AL131" t="s">
        <v>309</v>
      </c>
      <c r="AM131" t="str">
        <f t="shared" ref="AM131:AM182" si="25">TEXT(I131,"dddd")</f>
        <v>Thursday</v>
      </c>
      <c r="AN131" t="s">
        <v>63</v>
      </c>
      <c r="AO131" s="31"/>
      <c r="AP131" s="31"/>
      <c r="AQ131" t="s">
        <v>62</v>
      </c>
      <c r="AR131" s="11">
        <f t="shared" ref="AR131:AR224" si="26">1 + 4*((AC131 - MIN($AC$2:$AC$100)) / (MAX($AC$2:$AC$100) - MIN($AC$2:$AC$100)))</f>
        <v>1.0005371290452532</v>
      </c>
    </row>
    <row r="132" spans="1:44" x14ac:dyDescent="0.3">
      <c r="A132" s="8" t="s">
        <v>751</v>
      </c>
      <c r="B132" s="30"/>
      <c r="C132" s="23">
        <v>1</v>
      </c>
      <c r="D132" s="21">
        <v>622</v>
      </c>
      <c r="E132" s="8" t="s">
        <v>42</v>
      </c>
      <c r="F132" t="s">
        <v>365</v>
      </c>
      <c r="G132">
        <v>3</v>
      </c>
      <c r="H132" s="13" t="s">
        <v>47</v>
      </c>
      <c r="I132" s="17">
        <v>46008</v>
      </c>
      <c r="J132" s="2" t="s">
        <v>89</v>
      </c>
      <c r="K132" s="19">
        <f t="shared" ca="1" si="18"/>
        <v>21</v>
      </c>
      <c r="L132" t="s">
        <v>55</v>
      </c>
      <c r="M132" t="s">
        <v>166</v>
      </c>
      <c r="N132" t="s">
        <v>58</v>
      </c>
      <c r="O132" s="11">
        <v>1</v>
      </c>
      <c r="P132" t="s">
        <v>63</v>
      </c>
      <c r="Q132" t="s">
        <v>188</v>
      </c>
      <c r="R132" s="11">
        <v>16</v>
      </c>
      <c r="S132" s="2" t="s">
        <v>75</v>
      </c>
      <c r="T132" t="s">
        <v>63</v>
      </c>
      <c r="U132" t="s">
        <v>790</v>
      </c>
      <c r="V132" t="s">
        <v>141</v>
      </c>
      <c r="W132" t="s">
        <v>142</v>
      </c>
      <c r="X132" t="s">
        <v>791</v>
      </c>
      <c r="Y132" t="s">
        <v>62</v>
      </c>
      <c r="Z132" s="11">
        <v>2</v>
      </c>
      <c r="AA132" s="11">
        <v>0</v>
      </c>
      <c r="AB132" s="11">
        <v>0</v>
      </c>
      <c r="AC132" s="11">
        <f t="shared" si="19"/>
        <v>2</v>
      </c>
      <c r="AD132" s="20">
        <f t="shared" si="20"/>
        <v>3.2154340836012861E-3</v>
      </c>
      <c r="AE132" s="11">
        <f t="shared" si="21"/>
        <v>3.215434083601286</v>
      </c>
      <c r="AF132" s="11">
        <f t="shared" si="22"/>
        <v>0</v>
      </c>
      <c r="AG132" s="11">
        <f t="shared" si="23"/>
        <v>0</v>
      </c>
      <c r="AH132" s="11">
        <f t="shared" si="24"/>
        <v>0</v>
      </c>
      <c r="AI132" t="s">
        <v>63</v>
      </c>
      <c r="AJ132" t="s">
        <v>62</v>
      </c>
      <c r="AK132" t="s">
        <v>792</v>
      </c>
      <c r="AL132" t="s">
        <v>780</v>
      </c>
      <c r="AM132" t="str">
        <f t="shared" si="25"/>
        <v>Wednesday</v>
      </c>
      <c r="AN132" t="s">
        <v>63</v>
      </c>
      <c r="AO132" s="31"/>
      <c r="AP132" s="31"/>
      <c r="AQ132" t="s">
        <v>62</v>
      </c>
      <c r="AR132" s="11">
        <f t="shared" si="26"/>
        <v>1.0010742580905063</v>
      </c>
    </row>
    <row r="133" spans="1:44" x14ac:dyDescent="0.3">
      <c r="A133" s="8" t="s">
        <v>751</v>
      </c>
      <c r="B133" s="30"/>
      <c r="C133" s="23">
        <v>1</v>
      </c>
      <c r="D133" s="21">
        <v>622</v>
      </c>
      <c r="E133" s="8" t="s">
        <v>42</v>
      </c>
      <c r="F133" t="s">
        <v>569</v>
      </c>
      <c r="G133">
        <v>4</v>
      </c>
      <c r="H133" s="13" t="s">
        <v>47</v>
      </c>
      <c r="I133" s="17">
        <v>46008</v>
      </c>
      <c r="J133" s="2" t="s">
        <v>89</v>
      </c>
      <c r="K133" s="19">
        <f t="shared" ca="1" si="18"/>
        <v>21</v>
      </c>
      <c r="L133" t="s">
        <v>55</v>
      </c>
      <c r="M133" t="s">
        <v>286</v>
      </c>
      <c r="N133" t="s">
        <v>58</v>
      </c>
      <c r="O133" s="11">
        <v>1</v>
      </c>
      <c r="P133" t="s">
        <v>63</v>
      </c>
      <c r="Q133" t="s">
        <v>144</v>
      </c>
      <c r="R133" s="11">
        <v>16</v>
      </c>
      <c r="S133" s="2" t="s">
        <v>75</v>
      </c>
      <c r="T133" t="s">
        <v>63</v>
      </c>
      <c r="U133" t="s">
        <v>794</v>
      </c>
      <c r="V133" t="s">
        <v>141</v>
      </c>
      <c r="W133" t="s">
        <v>142</v>
      </c>
      <c r="X133" t="s">
        <v>560</v>
      </c>
      <c r="Y133" t="s">
        <v>63</v>
      </c>
      <c r="Z133" s="11">
        <v>2</v>
      </c>
      <c r="AA133" s="11">
        <v>0</v>
      </c>
      <c r="AB133" s="11">
        <v>0</v>
      </c>
      <c r="AC133" s="11">
        <f t="shared" si="19"/>
        <v>2</v>
      </c>
      <c r="AD133" s="20">
        <f t="shared" si="20"/>
        <v>3.2154340836012861E-3</v>
      </c>
      <c r="AE133" s="11">
        <f t="shared" si="21"/>
        <v>3.215434083601286</v>
      </c>
      <c r="AF133" s="11">
        <f t="shared" si="22"/>
        <v>0</v>
      </c>
      <c r="AG133" s="11">
        <f t="shared" si="23"/>
        <v>0</v>
      </c>
      <c r="AH133" s="11">
        <f t="shared" si="24"/>
        <v>0</v>
      </c>
      <c r="AI133" t="s">
        <v>63</v>
      </c>
      <c r="AJ133" t="s">
        <v>62</v>
      </c>
      <c r="AK133" t="s">
        <v>1024</v>
      </c>
      <c r="AL133" t="s">
        <v>105</v>
      </c>
      <c r="AM133" t="str">
        <f t="shared" si="25"/>
        <v>Wednesday</v>
      </c>
      <c r="AN133" t="s">
        <v>63</v>
      </c>
      <c r="AO133" s="31"/>
      <c r="AP133" s="31"/>
      <c r="AQ133" t="s">
        <v>62</v>
      </c>
      <c r="AR133" s="11">
        <f t="shared" si="26"/>
        <v>1.0010742580905063</v>
      </c>
    </row>
    <row r="134" spans="1:44" x14ac:dyDescent="0.3">
      <c r="A134" s="8" t="s">
        <v>753</v>
      </c>
      <c r="B134" s="30" t="s">
        <v>754</v>
      </c>
      <c r="C134" s="23">
        <v>3</v>
      </c>
      <c r="D134" s="21">
        <v>7013</v>
      </c>
      <c r="E134" s="8" t="s">
        <v>42</v>
      </c>
      <c r="F134" t="s">
        <v>795</v>
      </c>
      <c r="G134">
        <v>1</v>
      </c>
      <c r="H134" s="13" t="s">
        <v>47</v>
      </c>
      <c r="I134" s="17">
        <v>46009</v>
      </c>
      <c r="J134" s="2" t="s">
        <v>48</v>
      </c>
      <c r="K134" s="19">
        <f t="shared" ca="1" si="18"/>
        <v>20</v>
      </c>
      <c r="L134" t="s">
        <v>798</v>
      </c>
      <c r="M134" t="s">
        <v>307</v>
      </c>
      <c r="N134" t="s">
        <v>58</v>
      </c>
      <c r="O134" s="11">
        <v>3</v>
      </c>
      <c r="P134" t="s">
        <v>63</v>
      </c>
      <c r="Q134" t="s">
        <v>799</v>
      </c>
      <c r="R134" s="11">
        <v>22</v>
      </c>
      <c r="S134" s="2" t="s">
        <v>75</v>
      </c>
      <c r="T134" t="s">
        <v>63</v>
      </c>
      <c r="U134" t="s">
        <v>800</v>
      </c>
      <c r="V134" t="s">
        <v>141</v>
      </c>
      <c r="W134" t="s">
        <v>76</v>
      </c>
      <c r="X134" t="s">
        <v>78</v>
      </c>
      <c r="Y134" t="s">
        <v>63</v>
      </c>
      <c r="Z134" s="11">
        <v>123</v>
      </c>
      <c r="AA134" s="11">
        <v>36</v>
      </c>
      <c r="AB134" s="11">
        <v>0</v>
      </c>
      <c r="AC134" s="11">
        <f t="shared" si="19"/>
        <v>159</v>
      </c>
      <c r="AD134" s="20">
        <f t="shared" si="20"/>
        <v>2.2672180236703265E-2</v>
      </c>
      <c r="AE134" s="11">
        <f t="shared" si="21"/>
        <v>22.672180236703266</v>
      </c>
      <c r="AF134" s="11">
        <f t="shared" si="22"/>
        <v>0.51333238271780979</v>
      </c>
      <c r="AG134" s="11">
        <f t="shared" si="23"/>
        <v>0</v>
      </c>
      <c r="AH134" s="11">
        <f t="shared" si="24"/>
        <v>0.29268292682926828</v>
      </c>
      <c r="AI134" t="s">
        <v>63</v>
      </c>
      <c r="AJ134" t="s">
        <v>63</v>
      </c>
      <c r="AK134" t="s">
        <v>801</v>
      </c>
      <c r="AL134" s="11" t="s">
        <v>802</v>
      </c>
      <c r="AM134" t="str">
        <f t="shared" si="25"/>
        <v>Thursday</v>
      </c>
      <c r="AN134" t="s">
        <v>63</v>
      </c>
      <c r="AO134" s="31" t="s">
        <v>52</v>
      </c>
      <c r="AP134" s="31" t="s">
        <v>798</v>
      </c>
      <c r="AQ134" t="s">
        <v>63</v>
      </c>
      <c r="AR134" s="11">
        <f t="shared" si="26"/>
        <v>1.0854035181952464</v>
      </c>
    </row>
    <row r="135" spans="1:44" x14ac:dyDescent="0.3">
      <c r="A135" s="8" t="s">
        <v>753</v>
      </c>
      <c r="B135" s="30"/>
      <c r="C135" s="23">
        <v>3</v>
      </c>
      <c r="D135" s="21">
        <v>7013</v>
      </c>
      <c r="E135" s="8" t="s">
        <v>42</v>
      </c>
      <c r="F135" t="s">
        <v>796</v>
      </c>
      <c r="G135">
        <v>2</v>
      </c>
      <c r="H135" s="13" t="s">
        <v>47</v>
      </c>
      <c r="I135" s="17">
        <v>46003</v>
      </c>
      <c r="J135" s="2" t="s">
        <v>48</v>
      </c>
      <c r="K135" s="19">
        <f t="shared" ca="1" si="18"/>
        <v>26</v>
      </c>
      <c r="L135" t="s">
        <v>798</v>
      </c>
      <c r="M135" t="s">
        <v>307</v>
      </c>
      <c r="N135" t="s">
        <v>58</v>
      </c>
      <c r="O135" s="11">
        <v>1</v>
      </c>
      <c r="P135" t="s">
        <v>63</v>
      </c>
      <c r="Q135" t="s">
        <v>803</v>
      </c>
      <c r="R135" s="11">
        <v>33</v>
      </c>
      <c r="S135" s="2" t="s">
        <v>75</v>
      </c>
      <c r="T135" t="s">
        <v>63</v>
      </c>
      <c r="U135" t="s">
        <v>800</v>
      </c>
      <c r="V135" t="s">
        <v>141</v>
      </c>
      <c r="W135" t="s">
        <v>76</v>
      </c>
      <c r="X135" t="s">
        <v>78</v>
      </c>
      <c r="Y135" t="s">
        <v>63</v>
      </c>
      <c r="Z135" s="11">
        <v>115</v>
      </c>
      <c r="AA135" s="11">
        <v>37</v>
      </c>
      <c r="AB135" s="11">
        <v>3</v>
      </c>
      <c r="AC135" s="11">
        <f t="shared" si="19"/>
        <v>155</v>
      </c>
      <c r="AD135" s="20">
        <f t="shared" si="20"/>
        <v>2.2101810922572365E-2</v>
      </c>
      <c r="AE135" s="11">
        <f t="shared" si="21"/>
        <v>22.101810922572366</v>
      </c>
      <c r="AF135" s="11">
        <f t="shared" si="22"/>
        <v>0.52759161557108225</v>
      </c>
      <c r="AG135" s="11">
        <f t="shared" si="23"/>
        <v>4.2777698559817487E-2</v>
      </c>
      <c r="AH135" s="11">
        <f t="shared" si="24"/>
        <v>0.32173913043478258</v>
      </c>
      <c r="AI135" t="s">
        <v>63</v>
      </c>
      <c r="AJ135" t="s">
        <v>63</v>
      </c>
      <c r="AK135" t="s">
        <v>804</v>
      </c>
      <c r="AL135" t="s">
        <v>71</v>
      </c>
      <c r="AM135" t="str">
        <f t="shared" si="25"/>
        <v>Friday</v>
      </c>
      <c r="AN135" t="s">
        <v>63</v>
      </c>
      <c r="AO135" s="31"/>
      <c r="AP135" s="31"/>
      <c r="AQ135" t="s">
        <v>63</v>
      </c>
      <c r="AR135" s="11">
        <f t="shared" si="26"/>
        <v>1.083255002014234</v>
      </c>
    </row>
    <row r="136" spans="1:44" x14ac:dyDescent="0.3">
      <c r="A136" s="8" t="s">
        <v>753</v>
      </c>
      <c r="B136" s="30"/>
      <c r="C136" s="23">
        <v>3</v>
      </c>
      <c r="D136" s="21">
        <v>7013</v>
      </c>
      <c r="E136" s="8" t="s">
        <v>42</v>
      </c>
      <c r="F136" t="s">
        <v>797</v>
      </c>
      <c r="G136">
        <v>3</v>
      </c>
      <c r="H136" s="13" t="s">
        <v>47</v>
      </c>
      <c r="I136" s="17">
        <v>46003</v>
      </c>
      <c r="J136" s="2" t="s">
        <v>48</v>
      </c>
      <c r="K136" s="19">
        <f t="shared" ca="1" si="18"/>
        <v>26</v>
      </c>
      <c r="L136" t="s">
        <v>798</v>
      </c>
      <c r="M136" t="s">
        <v>307</v>
      </c>
      <c r="N136" t="s">
        <v>58</v>
      </c>
      <c r="O136" s="11">
        <v>1</v>
      </c>
      <c r="P136" t="s">
        <v>63</v>
      </c>
      <c r="Q136" t="s">
        <v>803</v>
      </c>
      <c r="R136" s="11">
        <v>33</v>
      </c>
      <c r="S136" s="2" t="s">
        <v>75</v>
      </c>
      <c r="T136" t="s">
        <v>63</v>
      </c>
      <c r="U136" t="s">
        <v>800</v>
      </c>
      <c r="V136" t="s">
        <v>141</v>
      </c>
      <c r="W136" t="s">
        <v>76</v>
      </c>
      <c r="X136" t="s">
        <v>78</v>
      </c>
      <c r="Y136" t="s">
        <v>63</v>
      </c>
      <c r="Z136" s="11">
        <v>115</v>
      </c>
      <c r="AA136" s="11">
        <v>37</v>
      </c>
      <c r="AB136" s="11">
        <v>3</v>
      </c>
      <c r="AC136" s="11">
        <f t="shared" si="19"/>
        <v>155</v>
      </c>
      <c r="AD136" s="20">
        <f t="shared" si="20"/>
        <v>2.2101810922572365E-2</v>
      </c>
      <c r="AE136" s="11">
        <f t="shared" si="21"/>
        <v>22.101810922572366</v>
      </c>
      <c r="AF136" s="11">
        <f t="shared" si="22"/>
        <v>0.52759161557108225</v>
      </c>
      <c r="AG136" s="11">
        <f t="shared" si="23"/>
        <v>4.2777698559817487E-2</v>
      </c>
      <c r="AH136" s="11">
        <f t="shared" si="24"/>
        <v>0.32173913043478258</v>
      </c>
      <c r="AI136" t="s">
        <v>63</v>
      </c>
      <c r="AJ136" t="s">
        <v>63</v>
      </c>
      <c r="AK136" t="s">
        <v>804</v>
      </c>
      <c r="AL136" t="s">
        <v>71</v>
      </c>
      <c r="AM136" t="str">
        <f t="shared" si="25"/>
        <v>Friday</v>
      </c>
      <c r="AN136" t="s">
        <v>63</v>
      </c>
      <c r="AO136" s="31"/>
      <c r="AP136" s="31"/>
      <c r="AQ136" t="s">
        <v>63</v>
      </c>
      <c r="AR136" s="11">
        <f t="shared" si="26"/>
        <v>1.083255002014234</v>
      </c>
    </row>
    <row r="137" spans="1:44" x14ac:dyDescent="0.3">
      <c r="A137" s="8" t="s">
        <v>753</v>
      </c>
      <c r="B137" s="30"/>
      <c r="C137" s="23">
        <v>3</v>
      </c>
      <c r="D137" s="21">
        <v>7013</v>
      </c>
      <c r="E137" s="8" t="s">
        <v>42</v>
      </c>
      <c r="F137" t="s">
        <v>395</v>
      </c>
      <c r="G137">
        <v>4</v>
      </c>
      <c r="H137" s="13" t="s">
        <v>47</v>
      </c>
      <c r="I137" s="17">
        <v>46003</v>
      </c>
      <c r="J137" s="2" t="s">
        <v>48</v>
      </c>
      <c r="K137" s="19">
        <f t="shared" ca="1" si="18"/>
        <v>26</v>
      </c>
      <c r="L137" t="s">
        <v>52</v>
      </c>
      <c r="M137" t="s">
        <v>805</v>
      </c>
      <c r="N137" t="s">
        <v>58</v>
      </c>
      <c r="O137" s="11">
        <v>1</v>
      </c>
      <c r="P137" t="s">
        <v>63</v>
      </c>
      <c r="Q137" t="s">
        <v>806</v>
      </c>
      <c r="R137" s="11">
        <v>21</v>
      </c>
      <c r="S137" s="2" t="s">
        <v>75</v>
      </c>
      <c r="T137" t="s">
        <v>63</v>
      </c>
      <c r="U137" t="s">
        <v>807</v>
      </c>
      <c r="V137" t="s">
        <v>141</v>
      </c>
      <c r="W137" t="s">
        <v>76</v>
      </c>
      <c r="X137" t="s">
        <v>78</v>
      </c>
      <c r="Y137" t="s">
        <v>63</v>
      </c>
      <c r="Z137" s="11">
        <v>257</v>
      </c>
      <c r="AA137" s="11">
        <v>53</v>
      </c>
      <c r="AB137" s="11">
        <v>2</v>
      </c>
      <c r="AC137" s="11">
        <f t="shared" si="19"/>
        <v>312</v>
      </c>
      <c r="AD137" s="20">
        <f t="shared" si="20"/>
        <v>4.4488806502210182E-2</v>
      </c>
      <c r="AE137" s="11">
        <f t="shared" si="21"/>
        <v>44.488806502210181</v>
      </c>
      <c r="AF137" s="11">
        <f t="shared" si="22"/>
        <v>0.75573934122344222</v>
      </c>
      <c r="AG137" s="11">
        <f t="shared" si="23"/>
        <v>2.8518465706544985E-2</v>
      </c>
      <c r="AH137" s="11">
        <f t="shared" si="24"/>
        <v>0.20622568093385213</v>
      </c>
      <c r="AI137" t="s">
        <v>63</v>
      </c>
      <c r="AJ137" t="s">
        <v>63</v>
      </c>
      <c r="AK137" t="s">
        <v>808</v>
      </c>
      <c r="AL137" t="s">
        <v>81</v>
      </c>
      <c r="AM137" t="str">
        <f t="shared" si="25"/>
        <v>Friday</v>
      </c>
      <c r="AN137" t="s">
        <v>63</v>
      </c>
      <c r="AO137" s="31"/>
      <c r="AP137" s="31"/>
      <c r="AQ137" t="s">
        <v>63</v>
      </c>
      <c r="AR137" s="11">
        <f t="shared" si="26"/>
        <v>1.167584262118974</v>
      </c>
    </row>
    <row r="138" spans="1:44" x14ac:dyDescent="0.3">
      <c r="A138" s="8" t="s">
        <v>755</v>
      </c>
      <c r="B138" s="30" t="s">
        <v>756</v>
      </c>
      <c r="C138" s="23">
        <v>3</v>
      </c>
      <c r="D138" s="21">
        <v>3137</v>
      </c>
      <c r="E138" s="8" t="s">
        <v>42</v>
      </c>
      <c r="F138" t="s">
        <v>809</v>
      </c>
      <c r="G138">
        <v>1</v>
      </c>
      <c r="H138" s="13" t="s">
        <v>47</v>
      </c>
      <c r="I138" s="17">
        <v>46013</v>
      </c>
      <c r="J138" s="2" t="s">
        <v>89</v>
      </c>
      <c r="K138" s="19">
        <f t="shared" ca="1" si="18"/>
        <v>16</v>
      </c>
      <c r="L138" t="s">
        <v>53</v>
      </c>
      <c r="M138" t="s">
        <v>813</v>
      </c>
      <c r="N138" t="s">
        <v>58</v>
      </c>
      <c r="O138" s="11">
        <v>1</v>
      </c>
      <c r="P138" t="s">
        <v>63</v>
      </c>
      <c r="Q138" t="s">
        <v>814</v>
      </c>
      <c r="R138" s="11">
        <v>11</v>
      </c>
      <c r="S138" s="2" t="s">
        <v>75</v>
      </c>
      <c r="T138" t="s">
        <v>63</v>
      </c>
      <c r="U138" t="s">
        <v>815</v>
      </c>
      <c r="V138" t="s">
        <v>141</v>
      </c>
      <c r="W138" t="s">
        <v>142</v>
      </c>
      <c r="X138" t="s">
        <v>816</v>
      </c>
      <c r="Y138" t="s">
        <v>62</v>
      </c>
      <c r="Z138" s="11">
        <v>12</v>
      </c>
      <c r="AA138" s="11">
        <v>6</v>
      </c>
      <c r="AB138" s="11">
        <v>0</v>
      </c>
      <c r="AC138" s="11">
        <f t="shared" si="19"/>
        <v>18</v>
      </c>
      <c r="AD138" s="20">
        <f t="shared" si="20"/>
        <v>5.7379662097545425E-3</v>
      </c>
      <c r="AE138" s="11">
        <f t="shared" si="21"/>
        <v>5.7379662097545427</v>
      </c>
      <c r="AF138" s="11">
        <f t="shared" si="22"/>
        <v>0.19126554032515142</v>
      </c>
      <c r="AG138" s="11">
        <f t="shared" si="23"/>
        <v>0</v>
      </c>
      <c r="AH138" s="11">
        <f t="shared" si="24"/>
        <v>0.5</v>
      </c>
      <c r="AI138" t="s">
        <v>62</v>
      </c>
      <c r="AJ138" t="s">
        <v>63</v>
      </c>
      <c r="AK138" t="s">
        <v>817</v>
      </c>
      <c r="AL138" t="s">
        <v>480</v>
      </c>
      <c r="AM138" t="str">
        <f t="shared" si="25"/>
        <v>Monday</v>
      </c>
      <c r="AN138" t="s">
        <v>62</v>
      </c>
      <c r="AO138" s="31" t="s">
        <v>52</v>
      </c>
      <c r="AP138" s="31" t="s">
        <v>53</v>
      </c>
      <c r="AQ138" t="s">
        <v>63</v>
      </c>
      <c r="AR138" s="11">
        <f t="shared" si="26"/>
        <v>1.0096683228145562</v>
      </c>
    </row>
    <row r="139" spans="1:44" x14ac:dyDescent="0.3">
      <c r="A139" s="8" t="s">
        <v>755</v>
      </c>
      <c r="B139" s="30"/>
      <c r="C139" s="23">
        <v>3</v>
      </c>
      <c r="D139" s="21">
        <v>3137</v>
      </c>
      <c r="E139" s="8" t="s">
        <v>42</v>
      </c>
      <c r="F139" t="s">
        <v>810</v>
      </c>
      <c r="G139">
        <v>2</v>
      </c>
      <c r="H139" s="13" t="s">
        <v>47</v>
      </c>
      <c r="I139" s="17">
        <v>46011</v>
      </c>
      <c r="J139" s="2" t="s">
        <v>89</v>
      </c>
      <c r="K139" s="19">
        <f t="shared" ca="1" si="18"/>
        <v>18</v>
      </c>
      <c r="L139" t="s">
        <v>52</v>
      </c>
      <c r="M139" t="s">
        <v>818</v>
      </c>
      <c r="N139" t="s">
        <v>58</v>
      </c>
      <c r="O139" s="11">
        <v>1</v>
      </c>
      <c r="P139" t="s">
        <v>63</v>
      </c>
      <c r="Q139" t="s">
        <v>819</v>
      </c>
      <c r="R139" s="11">
        <v>14</v>
      </c>
      <c r="S139" s="2" t="s">
        <v>61</v>
      </c>
      <c r="T139" t="s">
        <v>63</v>
      </c>
      <c r="U139" t="s">
        <v>732</v>
      </c>
      <c r="V139" t="s">
        <v>141</v>
      </c>
      <c r="W139" t="s">
        <v>76</v>
      </c>
      <c r="X139" t="s">
        <v>78</v>
      </c>
      <c r="Y139" t="s">
        <v>63</v>
      </c>
      <c r="Z139" s="11">
        <v>40</v>
      </c>
      <c r="AA139" s="11">
        <v>60</v>
      </c>
      <c r="AB139" s="11">
        <v>0</v>
      </c>
      <c r="AC139" s="11">
        <f t="shared" si="19"/>
        <v>100</v>
      </c>
      <c r="AD139" s="20">
        <f t="shared" si="20"/>
        <v>3.1877590054191905E-2</v>
      </c>
      <c r="AE139" s="11">
        <f t="shared" si="21"/>
        <v>31.877590054191906</v>
      </c>
      <c r="AF139" s="11">
        <f t="shared" si="22"/>
        <v>1.912655403251514</v>
      </c>
      <c r="AG139" s="11">
        <f t="shared" si="23"/>
        <v>0</v>
      </c>
      <c r="AH139" s="11">
        <f t="shared" si="24"/>
        <v>1.5</v>
      </c>
      <c r="AI139" t="s">
        <v>63</v>
      </c>
      <c r="AJ139" t="s">
        <v>63</v>
      </c>
      <c r="AK139" t="s">
        <v>820</v>
      </c>
      <c r="AL139" t="s">
        <v>106</v>
      </c>
      <c r="AM139" t="str">
        <f t="shared" si="25"/>
        <v>Saturday</v>
      </c>
      <c r="AN139" t="s">
        <v>62</v>
      </c>
      <c r="AO139" s="31"/>
      <c r="AP139" s="31"/>
      <c r="AQ139" t="s">
        <v>63</v>
      </c>
      <c r="AR139" s="11">
        <f t="shared" si="26"/>
        <v>1.0537129045253122</v>
      </c>
    </row>
    <row r="140" spans="1:44" x14ac:dyDescent="0.3">
      <c r="A140" s="8" t="s">
        <v>755</v>
      </c>
      <c r="B140" s="30"/>
      <c r="C140" s="23">
        <v>3</v>
      </c>
      <c r="D140" s="21">
        <v>3137</v>
      </c>
      <c r="E140" s="8" t="s">
        <v>42</v>
      </c>
      <c r="F140" t="s">
        <v>811</v>
      </c>
      <c r="G140">
        <v>3</v>
      </c>
      <c r="H140" s="13" t="s">
        <v>47</v>
      </c>
      <c r="I140" s="17">
        <v>46010</v>
      </c>
      <c r="J140" s="2" t="s">
        <v>89</v>
      </c>
      <c r="K140" s="19">
        <f t="shared" ca="1" si="18"/>
        <v>19</v>
      </c>
      <c r="L140" t="s">
        <v>52</v>
      </c>
      <c r="M140" t="s">
        <v>818</v>
      </c>
      <c r="N140" t="s">
        <v>58</v>
      </c>
      <c r="O140" s="11">
        <v>1</v>
      </c>
      <c r="P140" t="s">
        <v>63</v>
      </c>
      <c r="Q140" t="s">
        <v>806</v>
      </c>
      <c r="R140" s="11">
        <v>14</v>
      </c>
      <c r="S140" s="2" t="s">
        <v>75</v>
      </c>
      <c r="T140" t="s">
        <v>63</v>
      </c>
      <c r="U140" t="s">
        <v>821</v>
      </c>
      <c r="V140" t="s">
        <v>141</v>
      </c>
      <c r="W140" t="s">
        <v>76</v>
      </c>
      <c r="X140" t="s">
        <v>78</v>
      </c>
      <c r="Y140" t="s">
        <v>63</v>
      </c>
      <c r="Z140" s="11">
        <v>37</v>
      </c>
      <c r="AA140" s="11">
        <v>59</v>
      </c>
      <c r="AB140" s="11">
        <v>0</v>
      </c>
      <c r="AC140" s="11">
        <f t="shared" si="19"/>
        <v>96</v>
      </c>
      <c r="AD140" s="20">
        <f t="shared" si="20"/>
        <v>3.0602486452024225E-2</v>
      </c>
      <c r="AE140" s="11">
        <f t="shared" si="21"/>
        <v>30.602486452024227</v>
      </c>
      <c r="AF140" s="11">
        <f t="shared" si="22"/>
        <v>1.8807778131973221</v>
      </c>
      <c r="AG140" s="11">
        <f t="shared" si="23"/>
        <v>0</v>
      </c>
      <c r="AH140" s="11">
        <f t="shared" si="24"/>
        <v>1.5945945945945945</v>
      </c>
      <c r="AI140" t="s">
        <v>63</v>
      </c>
      <c r="AJ140" t="s">
        <v>63</v>
      </c>
      <c r="AK140" t="s">
        <v>822</v>
      </c>
      <c r="AL140" t="s">
        <v>480</v>
      </c>
      <c r="AM140" t="str">
        <f t="shared" si="25"/>
        <v>Friday</v>
      </c>
      <c r="AN140" t="s">
        <v>62</v>
      </c>
      <c r="AO140" s="31"/>
      <c r="AP140" s="31"/>
      <c r="AQ140" t="s">
        <v>63</v>
      </c>
      <c r="AR140" s="11">
        <f t="shared" si="26"/>
        <v>1.0515643883442998</v>
      </c>
    </row>
    <row r="141" spans="1:44" x14ac:dyDescent="0.3">
      <c r="A141" s="8" t="s">
        <v>755</v>
      </c>
      <c r="B141" s="30"/>
      <c r="C141" s="23">
        <v>3</v>
      </c>
      <c r="D141" s="21">
        <v>3137</v>
      </c>
      <c r="E141" s="8" t="s">
        <v>42</v>
      </c>
      <c r="F141" t="s">
        <v>812</v>
      </c>
      <c r="G141">
        <v>4</v>
      </c>
      <c r="H141" s="13" t="s">
        <v>47</v>
      </c>
      <c r="I141" s="17">
        <v>46009</v>
      </c>
      <c r="J141" s="2" t="s">
        <v>89</v>
      </c>
      <c r="K141" s="19">
        <f t="shared" ca="1" si="18"/>
        <v>20</v>
      </c>
      <c r="L141" t="s">
        <v>52</v>
      </c>
      <c r="M141" t="s">
        <v>818</v>
      </c>
      <c r="N141" t="s">
        <v>58</v>
      </c>
      <c r="O141" s="11">
        <v>1</v>
      </c>
      <c r="P141" t="s">
        <v>63</v>
      </c>
      <c r="Q141" t="s">
        <v>823</v>
      </c>
      <c r="R141" s="11">
        <v>17</v>
      </c>
      <c r="S141" s="2" t="s">
        <v>75</v>
      </c>
      <c r="T141" t="s">
        <v>63</v>
      </c>
      <c r="U141" t="s">
        <v>821</v>
      </c>
      <c r="V141" t="s">
        <v>141</v>
      </c>
      <c r="W141" t="s">
        <v>76</v>
      </c>
      <c r="X141" t="s">
        <v>78</v>
      </c>
      <c r="Y141" t="s">
        <v>63</v>
      </c>
      <c r="Z141" s="11">
        <v>32</v>
      </c>
      <c r="AA141" s="11">
        <v>50</v>
      </c>
      <c r="AB141" s="11">
        <v>0</v>
      </c>
      <c r="AC141" s="11">
        <f t="shared" si="19"/>
        <v>82</v>
      </c>
      <c r="AD141" s="20">
        <f t="shared" si="20"/>
        <v>2.6139623844437361E-2</v>
      </c>
      <c r="AE141" s="11">
        <f t="shared" si="21"/>
        <v>26.139623844437359</v>
      </c>
      <c r="AF141" s="11">
        <f t="shared" si="22"/>
        <v>1.5938795027095953</v>
      </c>
      <c r="AG141" s="11">
        <f t="shared" si="23"/>
        <v>0</v>
      </c>
      <c r="AH141" s="11">
        <f t="shared" si="24"/>
        <v>1.5625</v>
      </c>
      <c r="AI141" t="s">
        <v>62</v>
      </c>
      <c r="AJ141" t="s">
        <v>62</v>
      </c>
      <c r="AK141" t="s">
        <v>824</v>
      </c>
      <c r="AL141" t="s">
        <v>480</v>
      </c>
      <c r="AM141" t="str">
        <f t="shared" si="25"/>
        <v>Thursday</v>
      </c>
      <c r="AN141" t="s">
        <v>62</v>
      </c>
      <c r="AO141" s="31"/>
      <c r="AP141" s="31"/>
      <c r="AQ141" t="s">
        <v>63</v>
      </c>
      <c r="AR141" s="11">
        <f t="shared" si="26"/>
        <v>1.044044581710756</v>
      </c>
    </row>
    <row r="142" spans="1:44" x14ac:dyDescent="0.3">
      <c r="A142" s="8" t="s">
        <v>757</v>
      </c>
      <c r="B142" s="30" t="s">
        <v>758</v>
      </c>
      <c r="C142" s="23">
        <v>1</v>
      </c>
      <c r="D142" s="21">
        <v>10750</v>
      </c>
      <c r="E142" s="8" t="s">
        <v>42</v>
      </c>
      <c r="F142" t="s">
        <v>825</v>
      </c>
      <c r="G142">
        <v>1</v>
      </c>
      <c r="H142" s="13" t="s">
        <v>47</v>
      </c>
      <c r="I142" s="17">
        <v>46015</v>
      </c>
      <c r="J142" s="2" t="s">
        <v>89</v>
      </c>
      <c r="K142" s="19">
        <f t="shared" ca="1" si="18"/>
        <v>14</v>
      </c>
      <c r="L142" t="s">
        <v>828</v>
      </c>
      <c r="M142" t="s">
        <v>829</v>
      </c>
      <c r="N142" t="s">
        <v>58</v>
      </c>
      <c r="O142" s="11">
        <v>1</v>
      </c>
      <c r="P142" t="s">
        <v>62</v>
      </c>
      <c r="Q142" t="s">
        <v>830</v>
      </c>
      <c r="R142" s="11">
        <v>18</v>
      </c>
      <c r="S142" s="2" t="s">
        <v>75</v>
      </c>
      <c r="T142" t="s">
        <v>63</v>
      </c>
      <c r="U142" t="s">
        <v>224</v>
      </c>
      <c r="V142" t="s">
        <v>141</v>
      </c>
      <c r="W142" t="s">
        <v>76</v>
      </c>
      <c r="X142" t="s">
        <v>78</v>
      </c>
      <c r="Y142" t="s">
        <v>62</v>
      </c>
      <c r="Z142" s="11">
        <v>29</v>
      </c>
      <c r="AA142" s="11">
        <v>0</v>
      </c>
      <c r="AB142" s="11">
        <v>8</v>
      </c>
      <c r="AC142" s="11">
        <f t="shared" si="19"/>
        <v>37</v>
      </c>
      <c r="AD142" s="20">
        <f t="shared" si="20"/>
        <v>3.441860465116279E-3</v>
      </c>
      <c r="AE142" s="11">
        <f t="shared" si="21"/>
        <v>3.441860465116279</v>
      </c>
      <c r="AF142" s="11">
        <f t="shared" si="22"/>
        <v>0</v>
      </c>
      <c r="AG142" s="11">
        <f t="shared" si="23"/>
        <v>7.441860465116279E-2</v>
      </c>
      <c r="AH142" s="11">
        <f t="shared" si="24"/>
        <v>0</v>
      </c>
      <c r="AI142" t="s">
        <v>63</v>
      </c>
      <c r="AJ142" t="s">
        <v>63</v>
      </c>
      <c r="AK142" t="s">
        <v>635</v>
      </c>
      <c r="AL142" t="s">
        <v>831</v>
      </c>
      <c r="AM142" t="str">
        <f t="shared" si="25"/>
        <v>Wednesday</v>
      </c>
      <c r="AN142" t="s">
        <v>62</v>
      </c>
      <c r="AO142" s="31" t="s">
        <v>832</v>
      </c>
      <c r="AP142" s="31" t="s">
        <v>585</v>
      </c>
      <c r="AQ142" t="s">
        <v>62</v>
      </c>
      <c r="AR142" s="11">
        <f t="shared" si="26"/>
        <v>1.0198737746743656</v>
      </c>
    </row>
    <row r="143" spans="1:44" x14ac:dyDescent="0.3">
      <c r="A143" s="8" t="s">
        <v>757</v>
      </c>
      <c r="B143" s="30"/>
      <c r="C143" s="23">
        <v>1</v>
      </c>
      <c r="D143" s="21">
        <v>10750</v>
      </c>
      <c r="E143" s="8" t="s">
        <v>42</v>
      </c>
      <c r="F143" t="s">
        <v>826</v>
      </c>
      <c r="G143">
        <v>2</v>
      </c>
      <c r="H143" s="13" t="s">
        <v>47</v>
      </c>
      <c r="I143" s="17">
        <v>46011</v>
      </c>
      <c r="J143" s="2" t="s">
        <v>89</v>
      </c>
      <c r="K143" s="19">
        <f t="shared" ca="1" si="18"/>
        <v>18</v>
      </c>
      <c r="L143" t="s">
        <v>832</v>
      </c>
      <c r="M143" t="s">
        <v>106</v>
      </c>
      <c r="N143" t="s">
        <v>629</v>
      </c>
      <c r="O143" s="11">
        <v>1</v>
      </c>
      <c r="P143" t="s">
        <v>63</v>
      </c>
      <c r="Q143" t="s">
        <v>833</v>
      </c>
      <c r="R143" s="11">
        <v>23</v>
      </c>
      <c r="S143" s="2" t="s">
        <v>61</v>
      </c>
      <c r="T143" t="s">
        <v>63</v>
      </c>
      <c r="U143" t="s">
        <v>662</v>
      </c>
      <c r="V143" t="s">
        <v>141</v>
      </c>
      <c r="W143" t="s">
        <v>76</v>
      </c>
      <c r="X143" t="s">
        <v>106</v>
      </c>
      <c r="Y143" t="s">
        <v>62</v>
      </c>
      <c r="Z143" s="11">
        <v>616</v>
      </c>
      <c r="AA143" s="11">
        <v>27</v>
      </c>
      <c r="AB143" s="11">
        <v>18</v>
      </c>
      <c r="AC143" s="11">
        <f t="shared" si="19"/>
        <v>661</v>
      </c>
      <c r="AD143" s="20">
        <f t="shared" si="20"/>
        <v>6.1488372093023255E-2</v>
      </c>
      <c r="AE143" s="11">
        <f t="shared" si="21"/>
        <v>61.488372093023258</v>
      </c>
      <c r="AF143" s="11">
        <f t="shared" si="22"/>
        <v>0.25116279069767444</v>
      </c>
      <c r="AG143" s="11">
        <f t="shared" si="23"/>
        <v>0.16744186046511628</v>
      </c>
      <c r="AH143" s="11">
        <f t="shared" si="24"/>
        <v>4.3831168831168832E-2</v>
      </c>
      <c r="AI143" t="s">
        <v>62</v>
      </c>
      <c r="AJ143" t="s">
        <v>63</v>
      </c>
      <c r="AK143" t="s">
        <v>834</v>
      </c>
      <c r="AL143" t="s">
        <v>835</v>
      </c>
      <c r="AM143" t="str">
        <f t="shared" si="25"/>
        <v>Saturday</v>
      </c>
      <c r="AN143" t="s">
        <v>62</v>
      </c>
      <c r="AO143" s="31"/>
      <c r="AP143" s="31"/>
      <c r="AQ143" t="s">
        <v>62</v>
      </c>
      <c r="AR143" s="11">
        <f t="shared" si="26"/>
        <v>1.3550422989123136</v>
      </c>
    </row>
    <row r="144" spans="1:44" x14ac:dyDescent="0.3">
      <c r="A144" s="8" t="s">
        <v>757</v>
      </c>
      <c r="B144" s="30"/>
      <c r="C144" s="23">
        <v>1</v>
      </c>
      <c r="D144" s="21">
        <v>10750</v>
      </c>
      <c r="E144" s="8" t="s">
        <v>42</v>
      </c>
      <c r="F144" t="s">
        <v>827</v>
      </c>
      <c r="G144">
        <v>3</v>
      </c>
      <c r="H144" s="13" t="s">
        <v>47</v>
      </c>
      <c r="I144" s="17">
        <v>46014</v>
      </c>
      <c r="J144" s="2" t="s">
        <v>89</v>
      </c>
      <c r="K144" s="19">
        <f t="shared" ca="1" si="18"/>
        <v>15</v>
      </c>
      <c r="L144" t="s">
        <v>836</v>
      </c>
      <c r="M144" t="s">
        <v>254</v>
      </c>
      <c r="N144" t="s">
        <v>629</v>
      </c>
      <c r="O144" s="11">
        <v>1</v>
      </c>
      <c r="P144" t="s">
        <v>63</v>
      </c>
      <c r="Q144" t="s">
        <v>254</v>
      </c>
      <c r="R144" s="11">
        <v>29</v>
      </c>
      <c r="S144" s="2" t="s">
        <v>75</v>
      </c>
      <c r="T144" t="s">
        <v>62</v>
      </c>
      <c r="U144" t="s">
        <v>173</v>
      </c>
      <c r="V144" t="s">
        <v>173</v>
      </c>
      <c r="W144" t="s">
        <v>173</v>
      </c>
      <c r="X144" t="s">
        <v>173</v>
      </c>
      <c r="Y144" t="s">
        <v>62</v>
      </c>
      <c r="Z144" s="11">
        <v>45</v>
      </c>
      <c r="AA144" s="11">
        <v>2</v>
      </c>
      <c r="AB144" s="11">
        <v>3</v>
      </c>
      <c r="AC144" s="11">
        <f t="shared" si="19"/>
        <v>50</v>
      </c>
      <c r="AD144" s="20">
        <f t="shared" si="20"/>
        <v>4.6511627906976744E-3</v>
      </c>
      <c r="AE144" s="11">
        <f t="shared" si="21"/>
        <v>4.6511627906976747</v>
      </c>
      <c r="AF144" s="11">
        <f t="shared" si="22"/>
        <v>1.8604651162790697E-2</v>
      </c>
      <c r="AG144" s="11">
        <f t="shared" si="23"/>
        <v>2.7906976744186046E-2</v>
      </c>
      <c r="AH144" s="11">
        <f t="shared" si="24"/>
        <v>4.4444444444444446E-2</v>
      </c>
      <c r="AI144" t="s">
        <v>62</v>
      </c>
      <c r="AJ144" t="s">
        <v>63</v>
      </c>
      <c r="AK144" t="s">
        <v>586</v>
      </c>
      <c r="AL144" t="s">
        <v>231</v>
      </c>
      <c r="AM144" t="str">
        <f t="shared" si="25"/>
        <v>Tuesday</v>
      </c>
      <c r="AN144" t="s">
        <v>62</v>
      </c>
      <c r="AO144" s="31"/>
      <c r="AP144" s="31"/>
      <c r="AQ144" t="s">
        <v>62</v>
      </c>
      <c r="AR144" s="11">
        <f t="shared" si="26"/>
        <v>1.0268564522626562</v>
      </c>
    </row>
    <row r="145" spans="1:44" x14ac:dyDescent="0.3">
      <c r="A145" s="8" t="s">
        <v>757</v>
      </c>
      <c r="B145" s="30"/>
      <c r="C145" s="23">
        <v>1</v>
      </c>
      <c r="D145" s="21">
        <v>10750</v>
      </c>
      <c r="E145" s="8" t="s">
        <v>42</v>
      </c>
      <c r="F145" t="s">
        <v>158</v>
      </c>
      <c r="G145">
        <v>4</v>
      </c>
      <c r="H145" s="13" t="s">
        <v>47</v>
      </c>
      <c r="I145" s="17">
        <v>46014</v>
      </c>
      <c r="J145" s="2" t="s">
        <v>89</v>
      </c>
      <c r="K145" s="19">
        <f t="shared" ca="1" si="18"/>
        <v>15</v>
      </c>
      <c r="L145" t="s">
        <v>585</v>
      </c>
      <c r="M145" t="s">
        <v>837</v>
      </c>
      <c r="N145" t="s">
        <v>58</v>
      </c>
      <c r="O145" s="11">
        <v>1</v>
      </c>
      <c r="P145" t="s">
        <v>63</v>
      </c>
      <c r="Q145" t="s">
        <v>188</v>
      </c>
      <c r="R145" s="11">
        <v>8</v>
      </c>
      <c r="S145" s="2" t="s">
        <v>61</v>
      </c>
      <c r="T145" t="s">
        <v>63</v>
      </c>
      <c r="U145" t="s">
        <v>838</v>
      </c>
      <c r="V145" t="s">
        <v>141</v>
      </c>
      <c r="W145" t="s">
        <v>76</v>
      </c>
      <c r="X145" t="s">
        <v>78</v>
      </c>
      <c r="Y145" t="s">
        <v>62</v>
      </c>
      <c r="Z145" s="11">
        <v>18</v>
      </c>
      <c r="AA145" s="11">
        <v>0</v>
      </c>
      <c r="AB145" s="11">
        <v>1</v>
      </c>
      <c r="AC145" s="11">
        <f t="shared" si="19"/>
        <v>19</v>
      </c>
      <c r="AD145" s="20">
        <f t="shared" si="20"/>
        <v>1.7674418604651163E-3</v>
      </c>
      <c r="AE145" s="11">
        <f t="shared" si="21"/>
        <v>1.7674418604651163</v>
      </c>
      <c r="AF145" s="11">
        <f t="shared" si="22"/>
        <v>0</v>
      </c>
      <c r="AG145" s="11">
        <f t="shared" si="23"/>
        <v>9.3023255813953487E-3</v>
      </c>
      <c r="AH145" s="11">
        <f t="shared" si="24"/>
        <v>0</v>
      </c>
      <c r="AI145" t="s">
        <v>63</v>
      </c>
      <c r="AJ145" t="s">
        <v>63</v>
      </c>
      <c r="AK145" t="s">
        <v>839</v>
      </c>
      <c r="AL145" t="s">
        <v>188</v>
      </c>
      <c r="AM145" t="str">
        <f t="shared" si="25"/>
        <v>Tuesday</v>
      </c>
      <c r="AN145" t="s">
        <v>62</v>
      </c>
      <c r="AO145" s="31"/>
      <c r="AP145" s="31"/>
      <c r="AQ145" t="s">
        <v>62</v>
      </c>
      <c r="AR145" s="11">
        <f t="shared" si="26"/>
        <v>1.0102054518598094</v>
      </c>
    </row>
    <row r="146" spans="1:44" x14ac:dyDescent="0.3">
      <c r="A146" s="8" t="s">
        <v>759</v>
      </c>
      <c r="B146" s="30" t="s">
        <v>760</v>
      </c>
      <c r="C146" s="23">
        <v>2</v>
      </c>
      <c r="D146" s="21">
        <v>3216</v>
      </c>
      <c r="E146" s="8" t="s">
        <v>42</v>
      </c>
      <c r="F146" t="s">
        <v>840</v>
      </c>
      <c r="G146">
        <v>1</v>
      </c>
      <c r="H146" s="13" t="s">
        <v>47</v>
      </c>
      <c r="I146" s="17">
        <v>45984</v>
      </c>
      <c r="J146" s="2" t="s">
        <v>48</v>
      </c>
      <c r="K146" s="19">
        <f t="shared" ca="1" si="18"/>
        <v>45</v>
      </c>
      <c r="L146" t="s">
        <v>844</v>
      </c>
      <c r="M146" t="s">
        <v>845</v>
      </c>
      <c r="N146" t="s">
        <v>58</v>
      </c>
      <c r="O146" s="11">
        <v>1</v>
      </c>
      <c r="P146" t="s">
        <v>63</v>
      </c>
      <c r="Q146" t="s">
        <v>681</v>
      </c>
      <c r="R146" s="11">
        <v>18</v>
      </c>
      <c r="S146" s="2" t="s">
        <v>75</v>
      </c>
      <c r="T146" t="s">
        <v>63</v>
      </c>
      <c r="U146" t="s">
        <v>846</v>
      </c>
      <c r="V146" t="s">
        <v>141</v>
      </c>
      <c r="W146" t="s">
        <v>142</v>
      </c>
      <c r="X146" t="s">
        <v>847</v>
      </c>
      <c r="Y146" t="s">
        <v>62</v>
      </c>
      <c r="Z146" s="11">
        <v>34</v>
      </c>
      <c r="AA146" s="11">
        <v>3</v>
      </c>
      <c r="AB146" s="11">
        <v>0</v>
      </c>
      <c r="AC146" s="11">
        <f t="shared" si="19"/>
        <v>37</v>
      </c>
      <c r="AD146" s="20">
        <f t="shared" si="20"/>
        <v>1.1504975124378109E-2</v>
      </c>
      <c r="AE146" s="11">
        <f t="shared" si="21"/>
        <v>11.50497512437811</v>
      </c>
      <c r="AF146" s="11">
        <f t="shared" si="22"/>
        <v>9.3283582089552231E-2</v>
      </c>
      <c r="AG146" s="11">
        <f t="shared" si="23"/>
        <v>0</v>
      </c>
      <c r="AH146" s="11">
        <f t="shared" si="24"/>
        <v>8.8235294117647065E-2</v>
      </c>
      <c r="AI146" t="s">
        <v>63</v>
      </c>
      <c r="AJ146" t="s">
        <v>62</v>
      </c>
      <c r="AK146" t="s">
        <v>848</v>
      </c>
      <c r="AL146" t="s">
        <v>71</v>
      </c>
      <c r="AM146" t="str">
        <f t="shared" si="25"/>
        <v>Sunday</v>
      </c>
      <c r="AN146" t="s">
        <v>62</v>
      </c>
      <c r="AO146" s="31" t="s">
        <v>861</v>
      </c>
      <c r="AP146" s="31" t="s">
        <v>844</v>
      </c>
      <c r="AQ146" t="s">
        <v>62</v>
      </c>
      <c r="AR146" s="11">
        <f t="shared" si="26"/>
        <v>1.0198737746743656</v>
      </c>
    </row>
    <row r="147" spans="1:44" x14ac:dyDescent="0.3">
      <c r="A147" s="8" t="s">
        <v>759</v>
      </c>
      <c r="B147" s="30"/>
      <c r="C147" s="23">
        <v>2</v>
      </c>
      <c r="D147" s="21">
        <v>3216</v>
      </c>
      <c r="E147" s="8" t="s">
        <v>42</v>
      </c>
      <c r="F147" t="s">
        <v>841</v>
      </c>
      <c r="G147">
        <v>2</v>
      </c>
      <c r="H147" s="13" t="s">
        <v>47</v>
      </c>
      <c r="I147" s="17">
        <v>45950</v>
      </c>
      <c r="J147" s="2" t="s">
        <v>48</v>
      </c>
      <c r="K147" s="19">
        <f t="shared" ca="1" si="18"/>
        <v>79</v>
      </c>
      <c r="L147" t="s">
        <v>849</v>
      </c>
      <c r="M147" t="s">
        <v>850</v>
      </c>
      <c r="N147" t="s">
        <v>58</v>
      </c>
      <c r="O147" s="11">
        <v>1</v>
      </c>
      <c r="P147" t="s">
        <v>63</v>
      </c>
      <c r="Q147" t="s">
        <v>851</v>
      </c>
      <c r="R147" s="11">
        <v>9</v>
      </c>
      <c r="S147" s="2" t="s">
        <v>75</v>
      </c>
      <c r="T147" t="s">
        <v>63</v>
      </c>
      <c r="U147" t="s">
        <v>852</v>
      </c>
      <c r="V147" t="s">
        <v>141</v>
      </c>
      <c r="W147" t="s">
        <v>142</v>
      </c>
      <c r="X147" t="s">
        <v>853</v>
      </c>
      <c r="Y147" t="s">
        <v>62</v>
      </c>
      <c r="Z147" s="11">
        <v>40</v>
      </c>
      <c r="AA147" s="11">
        <v>1</v>
      </c>
      <c r="AB147" s="11">
        <v>0</v>
      </c>
      <c r="AC147" s="11">
        <f t="shared" si="19"/>
        <v>41</v>
      </c>
      <c r="AD147" s="20">
        <f t="shared" si="20"/>
        <v>1.2748756218905472E-2</v>
      </c>
      <c r="AE147" s="11">
        <f t="shared" si="21"/>
        <v>12.748756218905472</v>
      </c>
      <c r="AF147" s="11">
        <f t="shared" si="22"/>
        <v>3.109452736318408E-2</v>
      </c>
      <c r="AG147" s="11">
        <f t="shared" si="23"/>
        <v>0</v>
      </c>
      <c r="AH147" s="11">
        <f t="shared" si="24"/>
        <v>2.5000000000000001E-2</v>
      </c>
      <c r="AI147" t="s">
        <v>62</v>
      </c>
      <c r="AJ147" t="s">
        <v>62</v>
      </c>
      <c r="AK147" t="s">
        <v>854</v>
      </c>
      <c r="AL147" t="s">
        <v>802</v>
      </c>
      <c r="AM147" t="str">
        <f t="shared" si="25"/>
        <v>Monday</v>
      </c>
      <c r="AN147" t="s">
        <v>62</v>
      </c>
      <c r="AO147" s="31"/>
      <c r="AP147" s="31"/>
      <c r="AQ147" t="s">
        <v>62</v>
      </c>
      <c r="AR147" s="11">
        <f t="shared" si="26"/>
        <v>1.022022290855378</v>
      </c>
    </row>
    <row r="148" spans="1:44" x14ac:dyDescent="0.3">
      <c r="A148" s="8" t="s">
        <v>759</v>
      </c>
      <c r="B148" s="30"/>
      <c r="C148" s="23">
        <v>2</v>
      </c>
      <c r="D148" s="21">
        <v>3216</v>
      </c>
      <c r="E148" s="8" t="s">
        <v>42</v>
      </c>
      <c r="F148" t="s">
        <v>842</v>
      </c>
      <c r="G148">
        <v>3</v>
      </c>
      <c r="H148" s="13" t="s">
        <v>47</v>
      </c>
      <c r="I148" s="17">
        <v>45829</v>
      </c>
      <c r="J148" s="2" t="s">
        <v>48</v>
      </c>
      <c r="K148" s="19">
        <f t="shared" ca="1" si="18"/>
        <v>200</v>
      </c>
      <c r="L148" t="s">
        <v>855</v>
      </c>
      <c r="M148" t="s">
        <v>856</v>
      </c>
      <c r="N148" t="s">
        <v>58</v>
      </c>
      <c r="O148" s="11">
        <v>1</v>
      </c>
      <c r="P148" t="s">
        <v>63</v>
      </c>
      <c r="Q148" t="s">
        <v>857</v>
      </c>
      <c r="R148" s="11">
        <v>12</v>
      </c>
      <c r="S148" s="2" t="s">
        <v>75</v>
      </c>
      <c r="T148" t="s">
        <v>63</v>
      </c>
      <c r="U148" t="s">
        <v>858</v>
      </c>
      <c r="V148" t="s">
        <v>141</v>
      </c>
      <c r="W148" t="s">
        <v>69</v>
      </c>
      <c r="X148" t="s">
        <v>859</v>
      </c>
      <c r="Y148" t="s">
        <v>63</v>
      </c>
      <c r="Z148" s="11">
        <v>83</v>
      </c>
      <c r="AA148" s="11">
        <v>10</v>
      </c>
      <c r="AB148" s="11">
        <v>0</v>
      </c>
      <c r="AC148" s="11">
        <f t="shared" si="19"/>
        <v>93</v>
      </c>
      <c r="AD148" s="20">
        <f t="shared" si="20"/>
        <v>2.8917910447761194E-2</v>
      </c>
      <c r="AE148" s="11">
        <f t="shared" si="21"/>
        <v>28.917910447761194</v>
      </c>
      <c r="AF148" s="11">
        <f t="shared" si="22"/>
        <v>0.31094527363184082</v>
      </c>
      <c r="AG148" s="11">
        <f t="shared" si="23"/>
        <v>0</v>
      </c>
      <c r="AH148" s="11">
        <f t="shared" si="24"/>
        <v>0.12048192771084337</v>
      </c>
      <c r="AI148" t="s">
        <v>63</v>
      </c>
      <c r="AJ148" t="s">
        <v>63</v>
      </c>
      <c r="AK148" t="s">
        <v>860</v>
      </c>
      <c r="AL148" s="11" t="s">
        <v>81</v>
      </c>
      <c r="AM148" t="str">
        <f t="shared" si="25"/>
        <v>Saturday</v>
      </c>
      <c r="AN148" t="s">
        <v>62</v>
      </c>
      <c r="AO148" s="31"/>
      <c r="AP148" s="31"/>
      <c r="AQ148" t="s">
        <v>62</v>
      </c>
      <c r="AR148" s="11">
        <f t="shared" si="26"/>
        <v>1.0499530012085403</v>
      </c>
    </row>
    <row r="149" spans="1:44" x14ac:dyDescent="0.3">
      <c r="A149" s="8" t="s">
        <v>759</v>
      </c>
      <c r="B149" s="30"/>
      <c r="C149" s="23">
        <v>2</v>
      </c>
      <c r="D149" s="21">
        <v>3216</v>
      </c>
      <c r="E149" s="8" t="s">
        <v>42</v>
      </c>
      <c r="F149" t="s">
        <v>843</v>
      </c>
      <c r="G149">
        <v>4</v>
      </c>
      <c r="H149" s="13" t="s">
        <v>47</v>
      </c>
      <c r="I149" s="17">
        <v>45829</v>
      </c>
      <c r="J149" s="2" t="s">
        <v>48</v>
      </c>
      <c r="K149" s="19">
        <f t="shared" ca="1" si="18"/>
        <v>200</v>
      </c>
      <c r="L149" t="s">
        <v>861</v>
      </c>
      <c r="M149" t="s">
        <v>315</v>
      </c>
      <c r="N149" t="s">
        <v>57</v>
      </c>
      <c r="O149" s="11">
        <v>1</v>
      </c>
      <c r="P149" t="s">
        <v>63</v>
      </c>
      <c r="Q149" t="s">
        <v>862</v>
      </c>
      <c r="R149" s="11">
        <v>11</v>
      </c>
      <c r="S149" s="2" t="s">
        <v>61</v>
      </c>
      <c r="T149" t="s">
        <v>62</v>
      </c>
      <c r="U149" t="s">
        <v>173</v>
      </c>
      <c r="V149" t="s">
        <v>173</v>
      </c>
      <c r="W149" t="s">
        <v>173</v>
      </c>
      <c r="X149" t="s">
        <v>173</v>
      </c>
      <c r="Y149" t="s">
        <v>62</v>
      </c>
      <c r="Z149" s="11">
        <v>150</v>
      </c>
      <c r="AA149" s="11">
        <v>51</v>
      </c>
      <c r="AB149" s="11">
        <v>0</v>
      </c>
      <c r="AC149" s="11">
        <f t="shared" si="19"/>
        <v>201</v>
      </c>
      <c r="AD149" s="20">
        <f t="shared" si="20"/>
        <v>6.25E-2</v>
      </c>
      <c r="AE149" s="11">
        <f t="shared" si="21"/>
        <v>62.5</v>
      </c>
      <c r="AF149" s="11">
        <f t="shared" si="22"/>
        <v>1.585820895522388</v>
      </c>
      <c r="AG149" s="11">
        <f t="shared" si="23"/>
        <v>0</v>
      </c>
      <c r="AH149" s="11">
        <f t="shared" si="24"/>
        <v>0.34</v>
      </c>
      <c r="AI149" t="s">
        <v>63</v>
      </c>
      <c r="AJ149" t="s">
        <v>63</v>
      </c>
      <c r="AK149" t="s">
        <v>863</v>
      </c>
      <c r="AL149" t="s">
        <v>258</v>
      </c>
      <c r="AM149" t="str">
        <f t="shared" si="25"/>
        <v>Saturday</v>
      </c>
      <c r="AN149" t="s">
        <v>62</v>
      </c>
      <c r="AO149" s="31"/>
      <c r="AP149" s="31"/>
      <c r="AQ149" t="s">
        <v>62</v>
      </c>
      <c r="AR149" s="11">
        <f t="shared" si="26"/>
        <v>1.1079629380958775</v>
      </c>
    </row>
    <row r="150" spans="1:44" x14ac:dyDescent="0.3">
      <c r="A150" s="8" t="s">
        <v>761</v>
      </c>
      <c r="B150" s="30" t="s">
        <v>762</v>
      </c>
      <c r="C150" s="23">
        <v>5</v>
      </c>
      <c r="D150" s="21">
        <v>1544</v>
      </c>
      <c r="E150" s="8" t="s">
        <v>42</v>
      </c>
      <c r="F150" t="s">
        <v>864</v>
      </c>
      <c r="G150">
        <v>1</v>
      </c>
      <c r="H150" s="13" t="s">
        <v>47</v>
      </c>
      <c r="I150" s="17">
        <v>46015</v>
      </c>
      <c r="J150" s="2" t="s">
        <v>89</v>
      </c>
      <c r="K150" s="19">
        <f t="shared" ca="1" si="18"/>
        <v>14</v>
      </c>
      <c r="L150" t="s">
        <v>641</v>
      </c>
      <c r="M150" t="s">
        <v>868</v>
      </c>
      <c r="N150" t="s">
        <v>629</v>
      </c>
      <c r="O150" s="11">
        <v>1</v>
      </c>
      <c r="P150" t="s">
        <v>63</v>
      </c>
      <c r="Q150" t="s">
        <v>869</v>
      </c>
      <c r="R150" s="11">
        <v>14</v>
      </c>
      <c r="S150" s="2" t="s">
        <v>75</v>
      </c>
      <c r="T150" t="s">
        <v>63</v>
      </c>
      <c r="U150" t="s">
        <v>53</v>
      </c>
      <c r="V150" t="s">
        <v>141</v>
      </c>
      <c r="W150" t="s">
        <v>142</v>
      </c>
      <c r="X150" t="s">
        <v>870</v>
      </c>
      <c r="Y150" t="s">
        <v>62</v>
      </c>
      <c r="Z150" s="11">
        <v>4</v>
      </c>
      <c r="AA150" s="11">
        <v>0</v>
      </c>
      <c r="AB150" s="11">
        <v>0</v>
      </c>
      <c r="AC150" s="11">
        <f t="shared" si="19"/>
        <v>4</v>
      </c>
      <c r="AD150" s="20">
        <f t="shared" si="20"/>
        <v>2.5906735751295338E-3</v>
      </c>
      <c r="AE150" s="11">
        <f t="shared" si="21"/>
        <v>2.5906735751295336</v>
      </c>
      <c r="AF150" s="11">
        <f t="shared" si="22"/>
        <v>0</v>
      </c>
      <c r="AG150" s="11">
        <f t="shared" si="23"/>
        <v>0</v>
      </c>
      <c r="AH150" s="11">
        <f t="shared" si="24"/>
        <v>0</v>
      </c>
      <c r="AI150" t="s">
        <v>62</v>
      </c>
      <c r="AJ150" t="s">
        <v>62</v>
      </c>
      <c r="AK150" t="s">
        <v>871</v>
      </c>
      <c r="AL150" t="s">
        <v>835</v>
      </c>
      <c r="AM150" t="str">
        <f t="shared" si="25"/>
        <v>Wednesday</v>
      </c>
      <c r="AN150" t="s">
        <v>62</v>
      </c>
      <c r="AO150" s="31" t="s">
        <v>832</v>
      </c>
      <c r="AP150" s="31" t="s">
        <v>55</v>
      </c>
      <c r="AQ150" t="s">
        <v>63</v>
      </c>
      <c r="AR150" s="11">
        <f t="shared" si="26"/>
        <v>1.0021485161810124</v>
      </c>
    </row>
    <row r="151" spans="1:44" x14ac:dyDescent="0.3">
      <c r="A151" s="8" t="s">
        <v>761</v>
      </c>
      <c r="B151" s="30"/>
      <c r="C151" s="23">
        <v>5</v>
      </c>
      <c r="D151" s="21">
        <v>1544</v>
      </c>
      <c r="E151" s="8" t="s">
        <v>42</v>
      </c>
      <c r="F151" t="s">
        <v>865</v>
      </c>
      <c r="G151">
        <v>2</v>
      </c>
      <c r="H151" s="13" t="s">
        <v>47</v>
      </c>
      <c r="I151" s="17">
        <v>46014</v>
      </c>
      <c r="J151" s="2" t="s">
        <v>89</v>
      </c>
      <c r="K151" s="19">
        <f t="shared" ca="1" si="18"/>
        <v>15</v>
      </c>
      <c r="L151" t="s">
        <v>433</v>
      </c>
      <c r="M151" t="s">
        <v>872</v>
      </c>
      <c r="N151" t="s">
        <v>629</v>
      </c>
      <c r="O151" s="11">
        <v>1</v>
      </c>
      <c r="P151" t="s">
        <v>63</v>
      </c>
      <c r="Q151" t="s">
        <v>873</v>
      </c>
      <c r="R151" s="11">
        <v>2</v>
      </c>
      <c r="S151" s="2" t="s">
        <v>75</v>
      </c>
      <c r="T151" t="s">
        <v>63</v>
      </c>
      <c r="U151" t="s">
        <v>874</v>
      </c>
      <c r="V151" t="s">
        <v>141</v>
      </c>
      <c r="W151" t="s">
        <v>76</v>
      </c>
      <c r="X151" t="s">
        <v>875</v>
      </c>
      <c r="Y151" t="s">
        <v>63</v>
      </c>
      <c r="Z151" s="11">
        <v>4</v>
      </c>
      <c r="AA151" s="11">
        <v>2</v>
      </c>
      <c r="AB151" s="11">
        <v>0</v>
      </c>
      <c r="AC151" s="11">
        <f t="shared" si="19"/>
        <v>6</v>
      </c>
      <c r="AD151" s="20">
        <f t="shared" si="20"/>
        <v>3.8860103626943004E-3</v>
      </c>
      <c r="AE151" s="11">
        <f t="shared" si="21"/>
        <v>3.8860103626943006</v>
      </c>
      <c r="AF151" s="11">
        <f t="shared" si="22"/>
        <v>0.1295336787564767</v>
      </c>
      <c r="AG151" s="11">
        <f t="shared" si="23"/>
        <v>0</v>
      </c>
      <c r="AH151" s="11">
        <f t="shared" si="24"/>
        <v>0.5</v>
      </c>
      <c r="AI151" t="s">
        <v>63</v>
      </c>
      <c r="AJ151" t="s">
        <v>63</v>
      </c>
      <c r="AK151" t="s">
        <v>876</v>
      </c>
      <c r="AL151" t="s">
        <v>437</v>
      </c>
      <c r="AM151" t="str">
        <f t="shared" si="25"/>
        <v>Tuesday</v>
      </c>
      <c r="AN151" t="s">
        <v>62</v>
      </c>
      <c r="AO151" s="31"/>
      <c r="AP151" s="31"/>
      <c r="AQ151" t="s">
        <v>63</v>
      </c>
      <c r="AR151" s="11">
        <f t="shared" si="26"/>
        <v>1.0032227742715187</v>
      </c>
    </row>
    <row r="152" spans="1:44" x14ac:dyDescent="0.3">
      <c r="A152" s="8" t="s">
        <v>761</v>
      </c>
      <c r="B152" s="30"/>
      <c r="C152" s="23">
        <v>5</v>
      </c>
      <c r="D152" s="21">
        <v>1544</v>
      </c>
      <c r="E152" s="8" t="s">
        <v>42</v>
      </c>
      <c r="F152" t="s">
        <v>866</v>
      </c>
      <c r="G152">
        <v>3</v>
      </c>
      <c r="H152" s="13" t="s">
        <v>47</v>
      </c>
      <c r="I152" s="17">
        <v>46013</v>
      </c>
      <c r="J152" s="2" t="s">
        <v>89</v>
      </c>
      <c r="K152" s="19">
        <f t="shared" ca="1" si="18"/>
        <v>16</v>
      </c>
      <c r="L152" t="s">
        <v>423</v>
      </c>
      <c r="M152" t="s">
        <v>877</v>
      </c>
      <c r="N152" t="s">
        <v>629</v>
      </c>
      <c r="O152" s="11">
        <v>1</v>
      </c>
      <c r="P152" t="s">
        <v>63</v>
      </c>
      <c r="Q152" t="s">
        <v>873</v>
      </c>
      <c r="R152" s="11">
        <v>11</v>
      </c>
      <c r="S152" s="2" t="s">
        <v>99</v>
      </c>
      <c r="T152" t="s">
        <v>63</v>
      </c>
      <c r="U152" t="s">
        <v>878</v>
      </c>
      <c r="V152" t="s">
        <v>173</v>
      </c>
      <c r="W152" t="s">
        <v>173</v>
      </c>
      <c r="X152" t="s">
        <v>879</v>
      </c>
      <c r="Y152" t="s">
        <v>63</v>
      </c>
      <c r="Z152" s="11">
        <v>4</v>
      </c>
      <c r="AA152" s="11">
        <v>4</v>
      </c>
      <c r="AB152" s="11">
        <v>0</v>
      </c>
      <c r="AC152" s="11">
        <f t="shared" si="19"/>
        <v>8</v>
      </c>
      <c r="AD152" s="20">
        <f t="shared" si="20"/>
        <v>5.1813471502590676E-3</v>
      </c>
      <c r="AE152" s="11">
        <f t="shared" si="21"/>
        <v>5.1813471502590671</v>
      </c>
      <c r="AF152" s="11">
        <f t="shared" si="22"/>
        <v>0.2590673575129534</v>
      </c>
      <c r="AG152" s="11">
        <f t="shared" si="23"/>
        <v>0</v>
      </c>
      <c r="AH152" s="11">
        <f t="shared" si="24"/>
        <v>1</v>
      </c>
      <c r="AI152" t="s">
        <v>62</v>
      </c>
      <c r="AJ152" t="s">
        <v>62</v>
      </c>
      <c r="AK152" t="s">
        <v>880</v>
      </c>
      <c r="AL152" t="s">
        <v>881</v>
      </c>
      <c r="AM152" t="str">
        <f t="shared" si="25"/>
        <v>Monday</v>
      </c>
      <c r="AN152" t="s">
        <v>62</v>
      </c>
      <c r="AO152" s="31"/>
      <c r="AP152" s="31"/>
      <c r="AQ152" t="s">
        <v>63</v>
      </c>
      <c r="AR152" s="11">
        <f t="shared" si="26"/>
        <v>1.0042970323620251</v>
      </c>
    </row>
    <row r="153" spans="1:44" x14ac:dyDescent="0.3">
      <c r="A153" s="8" t="s">
        <v>761</v>
      </c>
      <c r="B153" s="30"/>
      <c r="C153" s="23">
        <v>5</v>
      </c>
      <c r="D153" s="21">
        <v>1544</v>
      </c>
      <c r="E153" s="8" t="s">
        <v>42</v>
      </c>
      <c r="F153" t="s">
        <v>867</v>
      </c>
      <c r="G153">
        <v>4</v>
      </c>
      <c r="H153" s="13" t="s">
        <v>47</v>
      </c>
      <c r="I153" s="17">
        <v>46011</v>
      </c>
      <c r="J153" s="2" t="s">
        <v>89</v>
      </c>
      <c r="K153" s="19">
        <f t="shared" ca="1" si="18"/>
        <v>18</v>
      </c>
      <c r="L153" t="s">
        <v>641</v>
      </c>
      <c r="M153" t="s">
        <v>882</v>
      </c>
      <c r="N153" t="s">
        <v>629</v>
      </c>
      <c r="O153" s="11">
        <v>1</v>
      </c>
      <c r="P153" t="s">
        <v>63</v>
      </c>
      <c r="Q153" t="s">
        <v>469</v>
      </c>
      <c r="R153" s="11">
        <v>14</v>
      </c>
      <c r="S153" s="2" t="s">
        <v>75</v>
      </c>
      <c r="T153" t="s">
        <v>63</v>
      </c>
      <c r="U153" t="s">
        <v>883</v>
      </c>
      <c r="V153" t="s">
        <v>141</v>
      </c>
      <c r="W153" t="s">
        <v>76</v>
      </c>
      <c r="X153" t="s">
        <v>884</v>
      </c>
      <c r="Y153" t="s">
        <v>63</v>
      </c>
      <c r="Z153" s="11">
        <v>0</v>
      </c>
      <c r="AA153" s="11">
        <v>2</v>
      </c>
      <c r="AB153" s="11">
        <v>0</v>
      </c>
      <c r="AC153" s="11">
        <f t="shared" si="19"/>
        <v>2</v>
      </c>
      <c r="AD153" s="20">
        <f t="shared" si="20"/>
        <v>1.2953367875647669E-3</v>
      </c>
      <c r="AE153" s="11">
        <f t="shared" si="21"/>
        <v>1.2953367875647668</v>
      </c>
      <c r="AF153" s="11">
        <f t="shared" si="22"/>
        <v>0.1295336787564767</v>
      </c>
      <c r="AG153" s="11">
        <f t="shared" si="23"/>
        <v>0</v>
      </c>
      <c r="AH153" s="11">
        <f t="shared" si="24"/>
        <v>0</v>
      </c>
      <c r="AI153" t="s">
        <v>62</v>
      </c>
      <c r="AJ153" t="s">
        <v>62</v>
      </c>
      <c r="AK153" t="s">
        <v>885</v>
      </c>
      <c r="AL153" t="s">
        <v>235</v>
      </c>
      <c r="AM153" t="str">
        <f t="shared" si="25"/>
        <v>Saturday</v>
      </c>
      <c r="AN153" t="s">
        <v>62</v>
      </c>
      <c r="AO153" s="31"/>
      <c r="AP153" s="31"/>
      <c r="AQ153" t="s">
        <v>63</v>
      </c>
      <c r="AR153" s="11">
        <f t="shared" si="26"/>
        <v>1.0010742580905063</v>
      </c>
    </row>
    <row r="154" spans="1:44" x14ac:dyDescent="0.3">
      <c r="A154" s="8" t="s">
        <v>763</v>
      </c>
      <c r="B154" s="30" t="s">
        <v>764</v>
      </c>
      <c r="C154" s="23">
        <v>10</v>
      </c>
      <c r="D154" s="21">
        <v>5811</v>
      </c>
      <c r="E154" s="8" t="s">
        <v>42</v>
      </c>
      <c r="F154" t="s">
        <v>85</v>
      </c>
      <c r="G154">
        <v>1</v>
      </c>
      <c r="H154" s="13" t="s">
        <v>47</v>
      </c>
      <c r="I154" s="17">
        <v>46011</v>
      </c>
      <c r="J154" s="2" t="s">
        <v>48</v>
      </c>
      <c r="K154" s="19">
        <f t="shared" ca="1" si="18"/>
        <v>18</v>
      </c>
      <c r="L154" t="s">
        <v>844</v>
      </c>
      <c r="M154" t="s">
        <v>888</v>
      </c>
      <c r="N154" t="s">
        <v>187</v>
      </c>
      <c r="O154" s="11">
        <v>7</v>
      </c>
      <c r="P154" t="s">
        <v>63</v>
      </c>
      <c r="Q154" t="s">
        <v>889</v>
      </c>
      <c r="R154" s="11">
        <v>5</v>
      </c>
      <c r="S154" s="2" t="s">
        <v>99</v>
      </c>
      <c r="T154" t="s">
        <v>63</v>
      </c>
      <c r="U154" t="s">
        <v>846</v>
      </c>
      <c r="V154" t="s">
        <v>141</v>
      </c>
      <c r="W154" t="s">
        <v>142</v>
      </c>
      <c r="X154" t="s">
        <v>847</v>
      </c>
      <c r="Y154" t="s">
        <v>62</v>
      </c>
      <c r="Z154" s="11">
        <v>37</v>
      </c>
      <c r="AA154" s="11">
        <v>6</v>
      </c>
      <c r="AB154" s="11">
        <v>0</v>
      </c>
      <c r="AC154" s="11">
        <f t="shared" si="19"/>
        <v>43</v>
      </c>
      <c r="AD154" s="20">
        <f t="shared" si="20"/>
        <v>7.3997590776114265E-3</v>
      </c>
      <c r="AE154" s="11">
        <f t="shared" si="21"/>
        <v>7.3997590776114262</v>
      </c>
      <c r="AF154" s="11">
        <f t="shared" si="22"/>
        <v>0.10325245224574084</v>
      </c>
      <c r="AG154" s="11">
        <f t="shared" si="23"/>
        <v>0</v>
      </c>
      <c r="AH154" s="11">
        <f t="shared" si="24"/>
        <v>0.16216216216216217</v>
      </c>
      <c r="AI154" t="s">
        <v>62</v>
      </c>
      <c r="AJ154" t="s">
        <v>63</v>
      </c>
      <c r="AK154" t="s">
        <v>890</v>
      </c>
      <c r="AL154" t="s">
        <v>231</v>
      </c>
      <c r="AM154" t="str">
        <f t="shared" si="25"/>
        <v>Saturday</v>
      </c>
      <c r="AN154" t="s">
        <v>62</v>
      </c>
      <c r="AO154" s="31" t="s">
        <v>861</v>
      </c>
      <c r="AP154" s="31" t="s">
        <v>162</v>
      </c>
      <c r="AQ154" t="s">
        <v>63</v>
      </c>
      <c r="AR154" s="11">
        <f t="shared" si="26"/>
        <v>1.0230965489458843</v>
      </c>
    </row>
    <row r="155" spans="1:44" x14ac:dyDescent="0.3">
      <c r="A155" s="8" t="s">
        <v>763</v>
      </c>
      <c r="B155" s="30"/>
      <c r="C155" s="23">
        <v>10</v>
      </c>
      <c r="D155" s="21">
        <v>5811</v>
      </c>
      <c r="E155" s="8" t="s">
        <v>42</v>
      </c>
      <c r="F155" t="s">
        <v>569</v>
      </c>
      <c r="G155">
        <v>2</v>
      </c>
      <c r="H155" s="13" t="s">
        <v>47</v>
      </c>
      <c r="I155" s="17">
        <v>45986</v>
      </c>
      <c r="J155" s="2" t="s">
        <v>48</v>
      </c>
      <c r="K155" s="19">
        <f t="shared" ca="1" si="18"/>
        <v>43</v>
      </c>
      <c r="L155" t="s">
        <v>162</v>
      </c>
      <c r="M155" t="s">
        <v>891</v>
      </c>
      <c r="N155" t="s">
        <v>629</v>
      </c>
      <c r="O155" s="11">
        <v>1</v>
      </c>
      <c r="P155" t="s">
        <v>63</v>
      </c>
      <c r="Q155" t="s">
        <v>892</v>
      </c>
      <c r="R155" s="11">
        <v>9</v>
      </c>
      <c r="S155" s="2" t="s">
        <v>75</v>
      </c>
      <c r="T155" t="s">
        <v>63</v>
      </c>
      <c r="U155" t="s">
        <v>893</v>
      </c>
      <c r="V155" t="s">
        <v>141</v>
      </c>
      <c r="W155" t="s">
        <v>76</v>
      </c>
      <c r="X155" t="s">
        <v>894</v>
      </c>
      <c r="Y155" t="s">
        <v>62</v>
      </c>
      <c r="Z155" s="11">
        <v>3</v>
      </c>
      <c r="AA155" s="11">
        <v>2</v>
      </c>
      <c r="AB155" s="11">
        <v>0</v>
      </c>
      <c r="AC155" s="11">
        <f t="shared" si="19"/>
        <v>5</v>
      </c>
      <c r="AD155" s="20">
        <f t="shared" si="20"/>
        <v>8.6043710204784026E-4</v>
      </c>
      <c r="AE155" s="11">
        <f t="shared" si="21"/>
        <v>0.8604371020478403</v>
      </c>
      <c r="AF155" s="11">
        <f t="shared" si="22"/>
        <v>3.4417484081913613E-2</v>
      </c>
      <c r="AG155" s="11">
        <f t="shared" si="23"/>
        <v>0</v>
      </c>
      <c r="AH155" s="11">
        <f t="shared" si="24"/>
        <v>0.66666666666666663</v>
      </c>
      <c r="AI155" t="s">
        <v>62</v>
      </c>
      <c r="AJ155" t="s">
        <v>63</v>
      </c>
      <c r="AK155" t="s">
        <v>895</v>
      </c>
      <c r="AL155" t="s">
        <v>896</v>
      </c>
      <c r="AM155" t="str">
        <f t="shared" si="25"/>
        <v>Tuesday</v>
      </c>
      <c r="AN155" t="s">
        <v>62</v>
      </c>
      <c r="AO155" s="31"/>
      <c r="AP155" s="31"/>
      <c r="AQ155" t="s">
        <v>63</v>
      </c>
      <c r="AR155" s="11">
        <f t="shared" si="26"/>
        <v>1.0026856452262656</v>
      </c>
    </row>
    <row r="156" spans="1:44" x14ac:dyDescent="0.3">
      <c r="A156" s="8" t="s">
        <v>763</v>
      </c>
      <c r="B156" s="30"/>
      <c r="C156" s="23">
        <v>10</v>
      </c>
      <c r="D156" s="21">
        <v>5811</v>
      </c>
      <c r="E156" s="8" t="s">
        <v>42</v>
      </c>
      <c r="F156" t="s">
        <v>886</v>
      </c>
      <c r="G156">
        <v>3</v>
      </c>
      <c r="H156" s="13" t="s">
        <v>47</v>
      </c>
      <c r="I156" s="17">
        <v>46005</v>
      </c>
      <c r="J156" s="2" t="s">
        <v>48</v>
      </c>
      <c r="K156" s="19">
        <f t="shared" ca="1" si="18"/>
        <v>24</v>
      </c>
      <c r="L156" t="s">
        <v>897</v>
      </c>
      <c r="M156" t="s">
        <v>898</v>
      </c>
      <c r="N156" t="s">
        <v>58</v>
      </c>
      <c r="O156" s="11">
        <v>9</v>
      </c>
      <c r="P156" t="s">
        <v>63</v>
      </c>
      <c r="Q156" t="s">
        <v>899</v>
      </c>
      <c r="R156" s="11">
        <v>11</v>
      </c>
      <c r="S156" s="2" t="s">
        <v>75</v>
      </c>
      <c r="T156" t="s">
        <v>63</v>
      </c>
      <c r="U156" t="s">
        <v>106</v>
      </c>
      <c r="V156" t="s">
        <v>289</v>
      </c>
      <c r="W156" t="s">
        <v>76</v>
      </c>
      <c r="X156" t="s">
        <v>900</v>
      </c>
      <c r="Y156" t="s">
        <v>62</v>
      </c>
      <c r="Z156" s="11">
        <v>6</v>
      </c>
      <c r="AA156" s="11">
        <v>4</v>
      </c>
      <c r="AB156" s="11">
        <v>3</v>
      </c>
      <c r="AC156" s="11">
        <f t="shared" si="19"/>
        <v>13</v>
      </c>
      <c r="AD156" s="20">
        <f t="shared" si="20"/>
        <v>2.2371364653243847E-3</v>
      </c>
      <c r="AE156" s="11">
        <f t="shared" si="21"/>
        <v>2.2371364653243848</v>
      </c>
      <c r="AF156" s="11">
        <f t="shared" si="22"/>
        <v>6.8834968163827226E-2</v>
      </c>
      <c r="AG156" s="11">
        <f t="shared" si="23"/>
        <v>5.1626226122870419E-2</v>
      </c>
      <c r="AH156" s="11">
        <f t="shared" si="24"/>
        <v>0.66666666666666663</v>
      </c>
      <c r="AI156" t="s">
        <v>63</v>
      </c>
      <c r="AJ156" t="s">
        <v>63</v>
      </c>
      <c r="AK156" t="s">
        <v>901</v>
      </c>
      <c r="AL156" t="s">
        <v>80</v>
      </c>
      <c r="AM156" t="str">
        <f t="shared" si="25"/>
        <v>Sunday</v>
      </c>
      <c r="AN156" t="s">
        <v>62</v>
      </c>
      <c r="AO156" s="31"/>
      <c r="AP156" s="31"/>
      <c r="AQ156" t="s">
        <v>63</v>
      </c>
      <c r="AR156" s="11">
        <f t="shared" si="26"/>
        <v>1.0069826775882906</v>
      </c>
    </row>
    <row r="157" spans="1:44" x14ac:dyDescent="0.3">
      <c r="A157" s="8" t="s">
        <v>763</v>
      </c>
      <c r="B157" s="30"/>
      <c r="C157" s="23">
        <v>10</v>
      </c>
      <c r="D157" s="21">
        <v>5811</v>
      </c>
      <c r="E157" s="8" t="s">
        <v>42</v>
      </c>
      <c r="F157" t="s">
        <v>887</v>
      </c>
      <c r="G157">
        <v>4</v>
      </c>
      <c r="H157" s="13" t="s">
        <v>47</v>
      </c>
      <c r="I157" s="17">
        <v>45833</v>
      </c>
      <c r="J157" s="2" t="s">
        <v>48</v>
      </c>
      <c r="K157" s="19">
        <f t="shared" ca="1" si="18"/>
        <v>196</v>
      </c>
      <c r="L157" t="s">
        <v>861</v>
      </c>
      <c r="M157" t="s">
        <v>891</v>
      </c>
      <c r="N157" t="s">
        <v>629</v>
      </c>
      <c r="O157" s="11">
        <v>1</v>
      </c>
      <c r="P157" t="s">
        <v>63</v>
      </c>
      <c r="Q157" t="s">
        <v>902</v>
      </c>
      <c r="R157" s="11">
        <v>6</v>
      </c>
      <c r="S157" s="2" t="s">
        <v>61</v>
      </c>
      <c r="T157" t="s">
        <v>63</v>
      </c>
      <c r="U157" t="s">
        <v>903</v>
      </c>
      <c r="V157" t="s">
        <v>289</v>
      </c>
      <c r="W157" t="s">
        <v>76</v>
      </c>
      <c r="X157" t="s">
        <v>904</v>
      </c>
      <c r="Y157" t="s">
        <v>62</v>
      </c>
      <c r="Z157" s="11">
        <v>79</v>
      </c>
      <c r="AA157" s="11">
        <v>9</v>
      </c>
      <c r="AB157" s="11">
        <v>7</v>
      </c>
      <c r="AC157" s="11">
        <f t="shared" si="19"/>
        <v>95</v>
      </c>
      <c r="AD157" s="20">
        <f t="shared" si="20"/>
        <v>1.6348304938908965E-2</v>
      </c>
      <c r="AE157" s="11">
        <f t="shared" si="21"/>
        <v>16.348304938908967</v>
      </c>
      <c r="AF157" s="11">
        <f t="shared" si="22"/>
        <v>0.15487867836861124</v>
      </c>
      <c r="AG157" s="11">
        <f t="shared" si="23"/>
        <v>0.12046119428669765</v>
      </c>
      <c r="AH157" s="11">
        <f t="shared" si="24"/>
        <v>0.11392405063291139</v>
      </c>
      <c r="AI157" t="s">
        <v>63</v>
      </c>
      <c r="AJ157" t="s">
        <v>63</v>
      </c>
      <c r="AK157" t="s">
        <v>315</v>
      </c>
      <c r="AL157" t="s">
        <v>905</v>
      </c>
      <c r="AM157" t="str">
        <f t="shared" si="25"/>
        <v>Wednesday</v>
      </c>
      <c r="AN157" t="s">
        <v>62</v>
      </c>
      <c r="AO157" s="31"/>
      <c r="AP157" s="31"/>
      <c r="AQ157" t="s">
        <v>63</v>
      </c>
      <c r="AR157" s="11">
        <f t="shared" si="26"/>
        <v>1.0510272592990466</v>
      </c>
    </row>
    <row r="158" spans="1:44" x14ac:dyDescent="0.3">
      <c r="A158" s="8" t="s">
        <v>765</v>
      </c>
      <c r="B158" s="30" t="s">
        <v>766</v>
      </c>
      <c r="C158" s="23">
        <v>50</v>
      </c>
      <c r="D158" s="21">
        <v>12495</v>
      </c>
      <c r="E158" s="8" t="s">
        <v>42</v>
      </c>
      <c r="F158" t="s">
        <v>906</v>
      </c>
      <c r="G158">
        <v>1</v>
      </c>
      <c r="H158" s="13" t="s">
        <v>47</v>
      </c>
      <c r="I158" s="17">
        <v>45915</v>
      </c>
      <c r="J158" s="2" t="s">
        <v>48</v>
      </c>
      <c r="K158" s="19">
        <f t="shared" ca="1" si="18"/>
        <v>114</v>
      </c>
      <c r="L158" t="s">
        <v>55</v>
      </c>
      <c r="M158" t="s">
        <v>286</v>
      </c>
      <c r="N158" t="s">
        <v>58</v>
      </c>
      <c r="O158" s="11">
        <v>1</v>
      </c>
      <c r="P158" t="s">
        <v>62</v>
      </c>
      <c r="Q158" t="s">
        <v>910</v>
      </c>
      <c r="R158" s="11">
        <v>5</v>
      </c>
      <c r="S158" s="2" t="s">
        <v>99</v>
      </c>
      <c r="T158" t="s">
        <v>62</v>
      </c>
      <c r="U158" t="s">
        <v>173</v>
      </c>
      <c r="V158" t="s">
        <v>173</v>
      </c>
      <c r="W158" t="s">
        <v>173</v>
      </c>
      <c r="X158" t="s">
        <v>173</v>
      </c>
      <c r="Y158" t="s">
        <v>62</v>
      </c>
      <c r="Z158" s="11">
        <v>55</v>
      </c>
      <c r="AA158" s="11">
        <v>3</v>
      </c>
      <c r="AB158" s="11">
        <v>0</v>
      </c>
      <c r="AC158" s="11">
        <f t="shared" si="19"/>
        <v>58</v>
      </c>
      <c r="AD158" s="20">
        <f t="shared" si="20"/>
        <v>4.6418567426970789E-3</v>
      </c>
      <c r="AE158" s="11">
        <f t="shared" si="21"/>
        <v>4.6418567426970787</v>
      </c>
      <c r="AF158" s="11">
        <f t="shared" si="22"/>
        <v>2.4009603841536616E-2</v>
      </c>
      <c r="AG158" s="11">
        <f t="shared" si="23"/>
        <v>0</v>
      </c>
      <c r="AH158" s="11">
        <f t="shared" si="24"/>
        <v>5.4545454545454543E-2</v>
      </c>
      <c r="AI158" t="s">
        <v>63</v>
      </c>
      <c r="AJ158" t="s">
        <v>63</v>
      </c>
      <c r="AK158" t="s">
        <v>911</v>
      </c>
      <c r="AL158" t="s">
        <v>912</v>
      </c>
      <c r="AM158" t="str">
        <f t="shared" si="25"/>
        <v>Monday</v>
      </c>
      <c r="AN158" t="s">
        <v>62</v>
      </c>
      <c r="AO158" s="31" t="s">
        <v>922</v>
      </c>
      <c r="AP158" s="31" t="s">
        <v>844</v>
      </c>
      <c r="AQ158" t="s">
        <v>62</v>
      </c>
      <c r="AR158" s="11">
        <f t="shared" si="26"/>
        <v>1.031153484624681</v>
      </c>
    </row>
    <row r="159" spans="1:44" x14ac:dyDescent="0.3">
      <c r="A159" s="8" t="s">
        <v>765</v>
      </c>
      <c r="B159" s="30"/>
      <c r="C159" s="23">
        <v>50</v>
      </c>
      <c r="D159" s="21">
        <v>12495</v>
      </c>
      <c r="E159" s="8" t="s">
        <v>42</v>
      </c>
      <c r="F159" t="s">
        <v>907</v>
      </c>
      <c r="G159">
        <v>2</v>
      </c>
      <c r="H159" s="13" t="s">
        <v>47</v>
      </c>
      <c r="I159" s="17">
        <v>45912</v>
      </c>
      <c r="J159" s="2" t="s">
        <v>48</v>
      </c>
      <c r="K159" s="19">
        <f t="shared" ca="1" si="18"/>
        <v>117</v>
      </c>
      <c r="L159" t="s">
        <v>844</v>
      </c>
      <c r="M159" t="s">
        <v>913</v>
      </c>
      <c r="N159" t="s">
        <v>58</v>
      </c>
      <c r="O159" s="11">
        <v>1</v>
      </c>
      <c r="P159" t="s">
        <v>63</v>
      </c>
      <c r="Q159" t="s">
        <v>914</v>
      </c>
      <c r="R159" s="11">
        <v>4</v>
      </c>
      <c r="S159" s="2" t="s">
        <v>61</v>
      </c>
      <c r="T159" t="s">
        <v>63</v>
      </c>
      <c r="U159" t="s">
        <v>915</v>
      </c>
      <c r="V159" t="s">
        <v>173</v>
      </c>
      <c r="W159" t="s">
        <v>142</v>
      </c>
      <c r="X159" t="s">
        <v>916</v>
      </c>
      <c r="Y159" t="s">
        <v>62</v>
      </c>
      <c r="Z159" s="11">
        <v>38</v>
      </c>
      <c r="AA159" s="11">
        <v>3</v>
      </c>
      <c r="AB159" s="11">
        <v>0</v>
      </c>
      <c r="AC159" s="11">
        <f t="shared" si="19"/>
        <v>41</v>
      </c>
      <c r="AD159" s="20">
        <f t="shared" si="20"/>
        <v>3.281312525010004E-3</v>
      </c>
      <c r="AE159" s="11">
        <f t="shared" si="21"/>
        <v>3.2813125250100041</v>
      </c>
      <c r="AF159" s="11">
        <f t="shared" si="22"/>
        <v>2.4009603841536616E-2</v>
      </c>
      <c r="AG159" s="11">
        <f t="shared" si="23"/>
        <v>0</v>
      </c>
      <c r="AH159" s="11">
        <f t="shared" si="24"/>
        <v>7.8947368421052627E-2</v>
      </c>
      <c r="AI159" t="s">
        <v>62</v>
      </c>
      <c r="AJ159" t="s">
        <v>63</v>
      </c>
      <c r="AK159" t="s">
        <v>917</v>
      </c>
      <c r="AL159" t="s">
        <v>81</v>
      </c>
      <c r="AM159" t="str">
        <f t="shared" si="25"/>
        <v>Friday</v>
      </c>
      <c r="AN159" t="s">
        <v>62</v>
      </c>
      <c r="AO159" s="31"/>
      <c r="AP159" s="31"/>
      <c r="AQ159" t="s">
        <v>62</v>
      </c>
      <c r="AR159" s="11">
        <f t="shared" si="26"/>
        <v>1.022022290855378</v>
      </c>
    </row>
    <row r="160" spans="1:44" x14ac:dyDescent="0.3">
      <c r="A160" s="8" t="s">
        <v>765</v>
      </c>
      <c r="B160" s="30"/>
      <c r="C160" s="23">
        <v>50</v>
      </c>
      <c r="D160" s="21">
        <v>12495</v>
      </c>
      <c r="E160" s="8" t="s">
        <v>42</v>
      </c>
      <c r="F160" t="s">
        <v>908</v>
      </c>
      <c r="G160">
        <v>3</v>
      </c>
      <c r="H160" s="13" t="s">
        <v>47</v>
      </c>
      <c r="I160" s="17">
        <v>45879</v>
      </c>
      <c r="J160" s="2" t="s">
        <v>48</v>
      </c>
      <c r="K160" s="19">
        <f t="shared" ca="1" si="18"/>
        <v>150</v>
      </c>
      <c r="L160" t="s">
        <v>918</v>
      </c>
      <c r="M160" t="s">
        <v>286</v>
      </c>
      <c r="N160" t="s">
        <v>58</v>
      </c>
      <c r="O160" s="11">
        <v>5</v>
      </c>
      <c r="P160" t="s">
        <v>63</v>
      </c>
      <c r="Q160" t="s">
        <v>919</v>
      </c>
      <c r="R160" s="11">
        <v>12</v>
      </c>
      <c r="S160" s="2" t="s">
        <v>61</v>
      </c>
      <c r="T160" t="s">
        <v>63</v>
      </c>
      <c r="U160" t="s">
        <v>920</v>
      </c>
      <c r="V160" t="s">
        <v>173</v>
      </c>
      <c r="W160" t="s">
        <v>142</v>
      </c>
      <c r="X160" t="s">
        <v>318</v>
      </c>
      <c r="Y160" t="s">
        <v>62</v>
      </c>
      <c r="Z160" s="11">
        <v>45</v>
      </c>
      <c r="AA160" s="11">
        <v>1</v>
      </c>
      <c r="AB160" s="11">
        <v>0</v>
      </c>
      <c r="AC160" s="11">
        <f t="shared" si="19"/>
        <v>46</v>
      </c>
      <c r="AD160" s="20">
        <f t="shared" si="20"/>
        <v>3.6814725890356144E-3</v>
      </c>
      <c r="AE160" s="11">
        <f t="shared" si="21"/>
        <v>3.6814725890356144</v>
      </c>
      <c r="AF160" s="11">
        <f t="shared" si="22"/>
        <v>8.0032012805122052E-3</v>
      </c>
      <c r="AG160" s="11">
        <f t="shared" si="23"/>
        <v>0</v>
      </c>
      <c r="AH160" s="11">
        <f t="shared" si="24"/>
        <v>2.2222222222222223E-2</v>
      </c>
      <c r="AI160" t="s">
        <v>63</v>
      </c>
      <c r="AJ160" t="s">
        <v>63</v>
      </c>
      <c r="AK160" t="s">
        <v>921</v>
      </c>
      <c r="AL160" t="s">
        <v>231</v>
      </c>
      <c r="AM160" t="str">
        <f t="shared" si="25"/>
        <v>Sunday</v>
      </c>
      <c r="AN160" t="s">
        <v>62</v>
      </c>
      <c r="AO160" s="31"/>
      <c r="AP160" s="31"/>
      <c r="AQ160" t="s">
        <v>62</v>
      </c>
      <c r="AR160" s="11">
        <f t="shared" si="26"/>
        <v>1.0247079360816436</v>
      </c>
    </row>
    <row r="161" spans="1:44" x14ac:dyDescent="0.3">
      <c r="A161" s="8" t="s">
        <v>765</v>
      </c>
      <c r="B161" s="30"/>
      <c r="C161" s="23">
        <v>50</v>
      </c>
      <c r="D161" s="21">
        <v>12495</v>
      </c>
      <c r="E161" s="8" t="s">
        <v>42</v>
      </c>
      <c r="F161" t="s">
        <v>909</v>
      </c>
      <c r="G161">
        <v>4</v>
      </c>
      <c r="H161" s="13" t="s">
        <v>47</v>
      </c>
      <c r="I161" s="17">
        <v>45920</v>
      </c>
      <c r="J161" s="2" t="s">
        <v>48</v>
      </c>
      <c r="K161" s="19">
        <f t="shared" ca="1" si="18"/>
        <v>109</v>
      </c>
      <c r="L161" t="s">
        <v>922</v>
      </c>
      <c r="M161" t="s">
        <v>55</v>
      </c>
      <c r="N161" t="s">
        <v>58</v>
      </c>
      <c r="O161" s="11">
        <v>1</v>
      </c>
      <c r="P161" t="s">
        <v>63</v>
      </c>
      <c r="Q161" t="s">
        <v>585</v>
      </c>
      <c r="R161" s="11">
        <v>13</v>
      </c>
      <c r="S161" s="2" t="s">
        <v>75</v>
      </c>
      <c r="T161" t="s">
        <v>63</v>
      </c>
      <c r="U161" t="s">
        <v>923</v>
      </c>
      <c r="V161" t="s">
        <v>141</v>
      </c>
      <c r="W161" t="s">
        <v>142</v>
      </c>
      <c r="X161" t="s">
        <v>916</v>
      </c>
      <c r="Y161" t="s">
        <v>62</v>
      </c>
      <c r="Z161" s="11">
        <v>68</v>
      </c>
      <c r="AA161" s="11">
        <v>13</v>
      </c>
      <c r="AB161" s="11">
        <v>0</v>
      </c>
      <c r="AC161" s="11">
        <f t="shared" si="19"/>
        <v>81</v>
      </c>
      <c r="AD161" s="20">
        <f t="shared" si="20"/>
        <v>6.4825930372148857E-3</v>
      </c>
      <c r="AE161" s="11">
        <f t="shared" si="21"/>
        <v>6.4825930372148859</v>
      </c>
      <c r="AF161" s="11">
        <f t="shared" si="22"/>
        <v>0.10404161664665866</v>
      </c>
      <c r="AG161" s="11">
        <f t="shared" si="23"/>
        <v>0</v>
      </c>
      <c r="AH161" s="11">
        <f t="shared" si="24"/>
        <v>0.19117647058823528</v>
      </c>
      <c r="AI161" t="s">
        <v>63</v>
      </c>
      <c r="AJ161" t="s">
        <v>63</v>
      </c>
      <c r="AK161" t="s">
        <v>924</v>
      </c>
      <c r="AL161" t="s">
        <v>231</v>
      </c>
      <c r="AM161" t="str">
        <f t="shared" si="25"/>
        <v>Saturday</v>
      </c>
      <c r="AN161" t="s">
        <v>62</v>
      </c>
      <c r="AO161" s="31"/>
      <c r="AP161" s="31"/>
      <c r="AQ161" t="s">
        <v>62</v>
      </c>
      <c r="AR161" s="11">
        <f t="shared" si="26"/>
        <v>1.0435074526655028</v>
      </c>
    </row>
    <row r="162" spans="1:44" x14ac:dyDescent="0.3">
      <c r="A162" s="8" t="s">
        <v>767</v>
      </c>
      <c r="B162" s="30" t="s">
        <v>768</v>
      </c>
      <c r="C162" s="23">
        <v>5</v>
      </c>
      <c r="D162" s="21">
        <v>28053</v>
      </c>
      <c r="E162" s="8" t="s">
        <v>42</v>
      </c>
      <c r="F162" t="s">
        <v>907</v>
      </c>
      <c r="G162">
        <v>1</v>
      </c>
      <c r="H162" s="13" t="s">
        <v>47</v>
      </c>
      <c r="I162" s="17">
        <v>46016</v>
      </c>
      <c r="J162" s="2" t="s">
        <v>48</v>
      </c>
      <c r="K162" s="19">
        <f t="shared" ca="1" si="18"/>
        <v>13</v>
      </c>
      <c r="L162" t="s">
        <v>55</v>
      </c>
      <c r="M162" t="s">
        <v>244</v>
      </c>
      <c r="N162" t="s">
        <v>629</v>
      </c>
      <c r="O162" s="11">
        <v>1</v>
      </c>
      <c r="P162" t="s">
        <v>63</v>
      </c>
      <c r="Q162" t="s">
        <v>925</v>
      </c>
      <c r="R162" s="11">
        <v>9</v>
      </c>
      <c r="S162" s="2" t="s">
        <v>61</v>
      </c>
      <c r="T162" t="s">
        <v>63</v>
      </c>
      <c r="U162" t="s">
        <v>926</v>
      </c>
      <c r="V162" t="s">
        <v>141</v>
      </c>
      <c r="W162" t="s">
        <v>142</v>
      </c>
      <c r="X162" t="s">
        <v>927</v>
      </c>
      <c r="Y162" t="s">
        <v>63</v>
      </c>
      <c r="Z162" s="11">
        <v>16</v>
      </c>
      <c r="AA162" s="11">
        <v>3</v>
      </c>
      <c r="AB162" s="11">
        <v>1</v>
      </c>
      <c r="AC162" s="11">
        <f t="shared" si="19"/>
        <v>20</v>
      </c>
      <c r="AD162" s="20">
        <f t="shared" si="20"/>
        <v>7.1293622785441844E-4</v>
      </c>
      <c r="AE162" s="11">
        <f t="shared" si="21"/>
        <v>0.71293622785441846</v>
      </c>
      <c r="AF162" s="11">
        <f t="shared" si="22"/>
        <v>1.0694043417816277E-2</v>
      </c>
      <c r="AG162" s="11">
        <f>(AB162/D162)*100</f>
        <v>3.5646811392720918E-3</v>
      </c>
      <c r="AH162" s="11">
        <f>IF(Z162=0,0,AA162/Z162)</f>
        <v>0.1875</v>
      </c>
      <c r="AI162" t="s">
        <v>63</v>
      </c>
      <c r="AJ162" t="s">
        <v>63</v>
      </c>
      <c r="AK162" t="s">
        <v>928</v>
      </c>
      <c r="AL162" t="s">
        <v>300</v>
      </c>
      <c r="AM162" t="str">
        <f t="shared" si="25"/>
        <v>Thursday</v>
      </c>
      <c r="AN162" t="s">
        <v>62</v>
      </c>
      <c r="AO162" s="31" t="s">
        <v>933</v>
      </c>
      <c r="AP162" s="31" t="s">
        <v>55</v>
      </c>
      <c r="AQ162" t="s">
        <v>62</v>
      </c>
      <c r="AR162" s="11">
        <f t="shared" si="26"/>
        <v>1.0107425809050625</v>
      </c>
    </row>
    <row r="163" spans="1:44" x14ac:dyDescent="0.3">
      <c r="A163" s="8" t="s">
        <v>767</v>
      </c>
      <c r="B163" s="30"/>
      <c r="C163" s="23">
        <v>5</v>
      </c>
      <c r="D163" s="21">
        <v>28053</v>
      </c>
      <c r="E163" s="8" t="s">
        <v>42</v>
      </c>
      <c r="F163" t="s">
        <v>886</v>
      </c>
      <c r="G163">
        <v>2</v>
      </c>
      <c r="H163" s="13" t="s">
        <v>47</v>
      </c>
      <c r="I163" s="17">
        <v>46005</v>
      </c>
      <c r="J163" s="2" t="s">
        <v>48</v>
      </c>
      <c r="K163" s="19">
        <f t="shared" ca="1" si="18"/>
        <v>24</v>
      </c>
      <c r="L163" t="s">
        <v>929</v>
      </c>
      <c r="M163" t="s">
        <v>244</v>
      </c>
      <c r="N163" t="s">
        <v>58</v>
      </c>
      <c r="O163" s="11">
        <v>2</v>
      </c>
      <c r="P163" t="s">
        <v>63</v>
      </c>
      <c r="Q163" t="s">
        <v>188</v>
      </c>
      <c r="R163" s="11">
        <v>8</v>
      </c>
      <c r="S163" s="2" t="s">
        <v>61</v>
      </c>
      <c r="T163" t="s">
        <v>63</v>
      </c>
      <c r="U163" t="s">
        <v>930</v>
      </c>
      <c r="V163" t="s">
        <v>141</v>
      </c>
      <c r="W163" t="s">
        <v>142</v>
      </c>
      <c r="X163" t="s">
        <v>879</v>
      </c>
      <c r="Y163" t="s">
        <v>62</v>
      </c>
      <c r="Z163" s="11">
        <v>43</v>
      </c>
      <c r="AA163" s="11">
        <v>4</v>
      </c>
      <c r="AB163" s="11">
        <v>1</v>
      </c>
      <c r="AC163" s="11">
        <f t="shared" si="19"/>
        <v>48</v>
      </c>
      <c r="AD163" s="20">
        <f t="shared" si="20"/>
        <v>1.7110469468506041E-3</v>
      </c>
      <c r="AE163" s="11">
        <f t="shared" si="21"/>
        <v>1.7110469468506042</v>
      </c>
      <c r="AF163" s="11">
        <f t="shared" si="22"/>
        <v>1.4258724557088367E-2</v>
      </c>
      <c r="AG163" s="11">
        <f t="shared" ref="AG163:AG224" si="27">(AB163/D163)*100</f>
        <v>3.5646811392720918E-3</v>
      </c>
      <c r="AH163" s="11">
        <f t="shared" ref="AH163:AH224" si="28">IF(Z163=0,0,AA163/Z163)</f>
        <v>9.3023255813953487E-2</v>
      </c>
      <c r="AI163" t="s">
        <v>63</v>
      </c>
      <c r="AJ163" t="s">
        <v>63</v>
      </c>
      <c r="AK163" t="s">
        <v>931</v>
      </c>
      <c r="AL163" t="s">
        <v>932</v>
      </c>
      <c r="AM163" t="str">
        <f t="shared" si="25"/>
        <v>Sunday</v>
      </c>
      <c r="AN163" t="s">
        <v>62</v>
      </c>
      <c r="AO163" s="31"/>
      <c r="AP163" s="31"/>
      <c r="AQ163" t="s">
        <v>62</v>
      </c>
      <c r="AR163" s="11">
        <f t="shared" si="26"/>
        <v>1.0257821941721499</v>
      </c>
    </row>
    <row r="164" spans="1:44" x14ac:dyDescent="0.3">
      <c r="A164" s="8" t="s">
        <v>767</v>
      </c>
      <c r="B164" s="30"/>
      <c r="C164" s="23">
        <v>5</v>
      </c>
      <c r="D164" s="21">
        <v>28053</v>
      </c>
      <c r="E164" s="8" t="s">
        <v>42</v>
      </c>
      <c r="F164" t="s">
        <v>569</v>
      </c>
      <c r="G164">
        <v>3</v>
      </c>
      <c r="H164" s="13" t="s">
        <v>47</v>
      </c>
      <c r="I164" s="17">
        <v>46000</v>
      </c>
      <c r="J164" s="2" t="s">
        <v>48</v>
      </c>
      <c r="K164" s="19">
        <f t="shared" ca="1" si="18"/>
        <v>29</v>
      </c>
      <c r="L164" t="s">
        <v>933</v>
      </c>
      <c r="M164" t="s">
        <v>934</v>
      </c>
      <c r="N164" t="s">
        <v>176</v>
      </c>
      <c r="O164" s="11">
        <v>1</v>
      </c>
      <c r="P164" t="s">
        <v>63</v>
      </c>
      <c r="Q164" t="s">
        <v>360</v>
      </c>
      <c r="R164" s="11">
        <v>10</v>
      </c>
      <c r="S164" s="2" t="s">
        <v>99</v>
      </c>
      <c r="T164" t="s">
        <v>63</v>
      </c>
      <c r="U164" t="s">
        <v>815</v>
      </c>
      <c r="V164" t="s">
        <v>141</v>
      </c>
      <c r="W164" t="s">
        <v>142</v>
      </c>
      <c r="X164" t="s">
        <v>879</v>
      </c>
      <c r="Y164" t="s">
        <v>62</v>
      </c>
      <c r="Z164" s="11">
        <v>71</v>
      </c>
      <c r="AA164" s="11">
        <v>4</v>
      </c>
      <c r="AB164" s="11">
        <v>5</v>
      </c>
      <c r="AC164" s="11">
        <f t="shared" si="19"/>
        <v>80</v>
      </c>
      <c r="AD164" s="20">
        <f t="shared" si="20"/>
        <v>2.8517449114176738E-3</v>
      </c>
      <c r="AE164" s="11">
        <f t="shared" si="21"/>
        <v>2.8517449114176738</v>
      </c>
      <c r="AF164" s="11">
        <f t="shared" si="22"/>
        <v>1.4258724557088367E-2</v>
      </c>
      <c r="AG164" s="11">
        <f t="shared" si="27"/>
        <v>1.7823405696360463E-2</v>
      </c>
      <c r="AH164" s="11">
        <f t="shared" si="28"/>
        <v>5.6338028169014086E-2</v>
      </c>
      <c r="AI164" t="s">
        <v>63</v>
      </c>
      <c r="AJ164" t="s">
        <v>63</v>
      </c>
      <c r="AK164" t="s">
        <v>935</v>
      </c>
      <c r="AL164" t="s">
        <v>932</v>
      </c>
      <c r="AM164" t="str">
        <f t="shared" si="25"/>
        <v>Tuesday</v>
      </c>
      <c r="AN164" t="s">
        <v>62</v>
      </c>
      <c r="AO164" s="31"/>
      <c r="AP164" s="31"/>
      <c r="AQ164" t="s">
        <v>62</v>
      </c>
      <c r="AR164" s="11">
        <f t="shared" si="26"/>
        <v>1.0429703236202497</v>
      </c>
    </row>
    <row r="165" spans="1:44" x14ac:dyDescent="0.3">
      <c r="A165" s="8" t="s">
        <v>767</v>
      </c>
      <c r="B165" s="30"/>
      <c r="C165" s="23">
        <v>5</v>
      </c>
      <c r="D165" s="21">
        <v>28053</v>
      </c>
      <c r="E165" s="8" t="s">
        <v>42</v>
      </c>
      <c r="F165" t="s">
        <v>365</v>
      </c>
      <c r="G165">
        <v>4</v>
      </c>
      <c r="H165" s="13" t="s">
        <v>47</v>
      </c>
      <c r="I165" s="17">
        <v>45986</v>
      </c>
      <c r="J165" s="2" t="s">
        <v>48</v>
      </c>
      <c r="K165" s="19">
        <f t="shared" ca="1" si="18"/>
        <v>43</v>
      </c>
      <c r="L165" t="s">
        <v>936</v>
      </c>
      <c r="M165" t="s">
        <v>106</v>
      </c>
      <c r="N165" t="s">
        <v>58</v>
      </c>
      <c r="O165" s="11">
        <v>2</v>
      </c>
      <c r="P165" t="s">
        <v>63</v>
      </c>
      <c r="Q165" t="s">
        <v>937</v>
      </c>
      <c r="R165" s="11">
        <v>14</v>
      </c>
      <c r="S165" s="2" t="s">
        <v>61</v>
      </c>
      <c r="T165" t="s">
        <v>63</v>
      </c>
      <c r="U165" t="s">
        <v>106</v>
      </c>
      <c r="V165" t="s">
        <v>141</v>
      </c>
      <c r="W165" t="s">
        <v>76</v>
      </c>
      <c r="X165" t="s">
        <v>916</v>
      </c>
      <c r="Y165" t="s">
        <v>62</v>
      </c>
      <c r="Z165" s="11">
        <v>51</v>
      </c>
      <c r="AA165" s="11">
        <v>5</v>
      </c>
      <c r="AB165" s="11">
        <v>2</v>
      </c>
      <c r="AC165" s="11">
        <f t="shared" si="19"/>
        <v>58</v>
      </c>
      <c r="AD165" s="20">
        <f t="shared" si="20"/>
        <v>2.0675150607778136E-3</v>
      </c>
      <c r="AE165" s="11">
        <f t="shared" si="21"/>
        <v>2.0675150607778137</v>
      </c>
      <c r="AF165" s="11">
        <f t="shared" si="22"/>
        <v>1.7823405696360463E-2</v>
      </c>
      <c r="AG165" s="11">
        <f t="shared" si="27"/>
        <v>7.1293622785441836E-3</v>
      </c>
      <c r="AH165" s="11">
        <f t="shared" si="28"/>
        <v>9.8039215686274508E-2</v>
      </c>
      <c r="AI165" t="s">
        <v>63</v>
      </c>
      <c r="AJ165" t="s">
        <v>63</v>
      </c>
      <c r="AK165" t="s">
        <v>938</v>
      </c>
      <c r="AL165" t="s">
        <v>939</v>
      </c>
      <c r="AM165" t="str">
        <f t="shared" si="25"/>
        <v>Tuesday</v>
      </c>
      <c r="AN165" t="s">
        <v>62</v>
      </c>
      <c r="AO165" s="31"/>
      <c r="AP165" s="31"/>
      <c r="AQ165" t="s">
        <v>62</v>
      </c>
      <c r="AR165" s="11">
        <f t="shared" si="26"/>
        <v>1.031153484624681</v>
      </c>
    </row>
    <row r="166" spans="1:44" x14ac:dyDescent="0.3">
      <c r="A166" s="8" t="s">
        <v>769</v>
      </c>
      <c r="B166" s="30" t="s">
        <v>770</v>
      </c>
      <c r="C166" s="23">
        <v>1</v>
      </c>
      <c r="D166" s="21">
        <v>4157</v>
      </c>
      <c r="E166" s="8" t="s">
        <v>42</v>
      </c>
      <c r="F166" t="s">
        <v>441</v>
      </c>
      <c r="G166">
        <v>1</v>
      </c>
      <c r="H166" s="13" t="s">
        <v>47</v>
      </c>
      <c r="I166" s="17">
        <v>46015</v>
      </c>
      <c r="J166" s="2" t="s">
        <v>48</v>
      </c>
      <c r="K166" s="19">
        <f t="shared" ca="1" si="18"/>
        <v>14</v>
      </c>
      <c r="L166" t="s">
        <v>832</v>
      </c>
      <c r="M166" t="s">
        <v>286</v>
      </c>
      <c r="N166" t="s">
        <v>58</v>
      </c>
      <c r="O166" s="11">
        <v>1</v>
      </c>
      <c r="P166" t="s">
        <v>63</v>
      </c>
      <c r="Q166" t="s">
        <v>940</v>
      </c>
      <c r="R166" s="11">
        <v>5</v>
      </c>
      <c r="S166" s="2" t="s">
        <v>99</v>
      </c>
      <c r="T166" t="s">
        <v>62</v>
      </c>
      <c r="U166" t="s">
        <v>173</v>
      </c>
      <c r="V166" t="s">
        <v>173</v>
      </c>
      <c r="W166" t="s">
        <v>173</v>
      </c>
      <c r="X166" t="s">
        <v>173</v>
      </c>
      <c r="Y166" t="s">
        <v>62</v>
      </c>
      <c r="Z166" s="11">
        <v>16</v>
      </c>
      <c r="AA166" s="11">
        <v>1</v>
      </c>
      <c r="AB166" s="11">
        <v>0</v>
      </c>
      <c r="AC166" s="11">
        <f t="shared" si="19"/>
        <v>17</v>
      </c>
      <c r="AD166" s="20">
        <f t="shared" si="20"/>
        <v>4.0894876112581189E-3</v>
      </c>
      <c r="AE166" s="11">
        <f t="shared" si="21"/>
        <v>4.0894876112581189</v>
      </c>
      <c r="AF166" s="11">
        <f t="shared" si="22"/>
        <v>2.4055809477988934E-2</v>
      </c>
      <c r="AG166" s="11">
        <f t="shared" si="27"/>
        <v>0</v>
      </c>
      <c r="AH166" s="11">
        <f t="shared" si="28"/>
        <v>6.25E-2</v>
      </c>
      <c r="AI166" t="s">
        <v>62</v>
      </c>
      <c r="AJ166" t="s">
        <v>62</v>
      </c>
      <c r="AK166" t="s">
        <v>286</v>
      </c>
      <c r="AL166" t="s">
        <v>71</v>
      </c>
      <c r="AM166" t="str">
        <f t="shared" si="25"/>
        <v>Wednesday</v>
      </c>
      <c r="AN166" t="s">
        <v>62</v>
      </c>
      <c r="AO166" s="31" t="s">
        <v>55</v>
      </c>
      <c r="AP166" s="31" t="s">
        <v>55</v>
      </c>
      <c r="AQ166" t="s">
        <v>62</v>
      </c>
      <c r="AR166" s="11">
        <f t="shared" si="26"/>
        <v>1.009131193769303</v>
      </c>
    </row>
    <row r="167" spans="1:44" x14ac:dyDescent="0.3">
      <c r="A167" s="8" t="s">
        <v>769</v>
      </c>
      <c r="B167" s="30"/>
      <c r="C167" s="23">
        <v>1</v>
      </c>
      <c r="D167" s="21">
        <v>4157</v>
      </c>
      <c r="E167" s="8" t="s">
        <v>42</v>
      </c>
      <c r="F167" t="s">
        <v>365</v>
      </c>
      <c r="G167">
        <v>2</v>
      </c>
      <c r="H167" s="13" t="s">
        <v>47</v>
      </c>
      <c r="I167" s="17">
        <v>46010</v>
      </c>
      <c r="J167" s="2" t="s">
        <v>48</v>
      </c>
      <c r="K167" s="19">
        <f t="shared" ca="1" si="18"/>
        <v>19</v>
      </c>
      <c r="L167" t="s">
        <v>613</v>
      </c>
      <c r="M167" t="s">
        <v>385</v>
      </c>
      <c r="N167" t="s">
        <v>58</v>
      </c>
      <c r="O167" s="11">
        <v>1</v>
      </c>
      <c r="P167" t="s">
        <v>63</v>
      </c>
      <c r="Q167" t="s">
        <v>941</v>
      </c>
      <c r="R167" s="11">
        <v>9</v>
      </c>
      <c r="S167" s="2" t="s">
        <v>99</v>
      </c>
      <c r="T167" t="s">
        <v>62</v>
      </c>
      <c r="U167" t="s">
        <v>173</v>
      </c>
      <c r="V167" t="s">
        <v>173</v>
      </c>
      <c r="W167" t="s">
        <v>173</v>
      </c>
      <c r="X167" t="s">
        <v>173</v>
      </c>
      <c r="Y167" t="s">
        <v>62</v>
      </c>
      <c r="Z167" s="11">
        <v>23</v>
      </c>
      <c r="AA167" s="11">
        <v>4</v>
      </c>
      <c r="AB167" s="11">
        <v>0</v>
      </c>
      <c r="AC167" s="11">
        <f t="shared" si="19"/>
        <v>27</v>
      </c>
      <c r="AD167" s="20">
        <f t="shared" si="20"/>
        <v>6.4950685590570122E-3</v>
      </c>
      <c r="AE167" s="11">
        <f t="shared" si="21"/>
        <v>6.4950685590570121</v>
      </c>
      <c r="AF167" s="11">
        <f t="shared" si="22"/>
        <v>9.6223237911955736E-2</v>
      </c>
      <c r="AG167" s="11">
        <f t="shared" si="27"/>
        <v>0</v>
      </c>
      <c r="AH167" s="11">
        <f t="shared" si="28"/>
        <v>0.17391304347826086</v>
      </c>
      <c r="AI167" t="s">
        <v>62</v>
      </c>
      <c r="AJ167" t="s">
        <v>63</v>
      </c>
      <c r="AK167" t="s">
        <v>385</v>
      </c>
      <c r="AL167" t="s">
        <v>613</v>
      </c>
      <c r="AM167" t="str">
        <f t="shared" si="25"/>
        <v>Friday</v>
      </c>
      <c r="AN167" t="s">
        <v>62</v>
      </c>
      <c r="AO167" s="31"/>
      <c r="AP167" s="31"/>
      <c r="AQ167" t="s">
        <v>62</v>
      </c>
      <c r="AR167" s="11">
        <f t="shared" si="26"/>
        <v>1.0145024842218342</v>
      </c>
    </row>
    <row r="168" spans="1:44" x14ac:dyDescent="0.3">
      <c r="A168" s="8" t="s">
        <v>769</v>
      </c>
      <c r="B168" s="30"/>
      <c r="C168" s="23">
        <v>1</v>
      </c>
      <c r="D168" s="21">
        <v>4157</v>
      </c>
      <c r="E168" s="8" t="s">
        <v>42</v>
      </c>
      <c r="F168" t="s">
        <v>569</v>
      </c>
      <c r="G168">
        <v>3</v>
      </c>
      <c r="H168" s="13" t="s">
        <v>47</v>
      </c>
      <c r="I168" s="17">
        <v>46011</v>
      </c>
      <c r="J168" s="2" t="s">
        <v>48</v>
      </c>
      <c r="K168" s="19">
        <f t="shared" ca="1" si="18"/>
        <v>18</v>
      </c>
      <c r="L168" t="s">
        <v>55</v>
      </c>
      <c r="M168" t="s">
        <v>286</v>
      </c>
      <c r="N168" t="s">
        <v>57</v>
      </c>
      <c r="O168" s="11">
        <v>1</v>
      </c>
      <c r="P168" t="s">
        <v>63</v>
      </c>
      <c r="Q168" t="s">
        <v>144</v>
      </c>
      <c r="R168" s="11">
        <v>17</v>
      </c>
      <c r="S168" s="2" t="s">
        <v>61</v>
      </c>
      <c r="T168" t="s">
        <v>63</v>
      </c>
      <c r="U168" t="s">
        <v>626</v>
      </c>
      <c r="V168" t="s">
        <v>141</v>
      </c>
      <c r="W168" t="s">
        <v>76</v>
      </c>
      <c r="X168" t="s">
        <v>190</v>
      </c>
      <c r="Y168" t="s">
        <v>62</v>
      </c>
      <c r="Z168" s="11">
        <v>40</v>
      </c>
      <c r="AA168" s="11">
        <v>4</v>
      </c>
      <c r="AB168" s="11">
        <v>0</v>
      </c>
      <c r="AC168" s="11">
        <f t="shared" si="19"/>
        <v>44</v>
      </c>
      <c r="AD168" s="20">
        <f t="shared" si="20"/>
        <v>1.0584556170315132E-2</v>
      </c>
      <c r="AE168" s="11">
        <f t="shared" si="21"/>
        <v>10.584556170315132</v>
      </c>
      <c r="AF168" s="11">
        <f t="shared" si="22"/>
        <v>9.6223237911955736E-2</v>
      </c>
      <c r="AG168" s="11">
        <f t="shared" si="27"/>
        <v>0</v>
      </c>
      <c r="AH168" s="11">
        <f t="shared" si="28"/>
        <v>0.1</v>
      </c>
      <c r="AI168" t="s">
        <v>62</v>
      </c>
      <c r="AJ168" t="s">
        <v>62</v>
      </c>
      <c r="AK168" t="s">
        <v>286</v>
      </c>
      <c r="AL168" t="s">
        <v>942</v>
      </c>
      <c r="AM168" t="str">
        <f t="shared" si="25"/>
        <v>Saturday</v>
      </c>
      <c r="AN168" t="s">
        <v>62</v>
      </c>
      <c r="AO168" s="31"/>
      <c r="AP168" s="31"/>
      <c r="AQ168" t="s">
        <v>62</v>
      </c>
      <c r="AR168" s="11">
        <f t="shared" si="26"/>
        <v>1.0236336779911375</v>
      </c>
    </row>
    <row r="169" spans="1:44" x14ac:dyDescent="0.3">
      <c r="A169" s="8" t="s">
        <v>769</v>
      </c>
      <c r="B169" s="30"/>
      <c r="C169" s="23">
        <v>1</v>
      </c>
      <c r="D169" s="21">
        <v>4157</v>
      </c>
      <c r="E169" s="8" t="s">
        <v>42</v>
      </c>
      <c r="F169" t="s">
        <v>886</v>
      </c>
      <c r="G169">
        <v>4</v>
      </c>
      <c r="H169" s="13" t="s">
        <v>47</v>
      </c>
      <c r="I169" s="17">
        <v>46011</v>
      </c>
      <c r="J169" s="2" t="s">
        <v>48</v>
      </c>
      <c r="K169" s="19">
        <f t="shared" ca="1" si="18"/>
        <v>18</v>
      </c>
      <c r="L169" t="s">
        <v>55</v>
      </c>
      <c r="M169" t="s">
        <v>286</v>
      </c>
      <c r="N169" t="s">
        <v>58</v>
      </c>
      <c r="O169" s="11">
        <v>1</v>
      </c>
      <c r="P169" t="s">
        <v>63</v>
      </c>
      <c r="Q169" t="s">
        <v>144</v>
      </c>
      <c r="R169" s="11">
        <v>19</v>
      </c>
      <c r="S169" s="2" t="s">
        <v>99</v>
      </c>
      <c r="T169" t="s">
        <v>63</v>
      </c>
      <c r="U169" t="s">
        <v>943</v>
      </c>
      <c r="V169" t="s">
        <v>141</v>
      </c>
      <c r="W169" t="s">
        <v>76</v>
      </c>
      <c r="X169" t="s">
        <v>190</v>
      </c>
      <c r="Y169" t="s">
        <v>63</v>
      </c>
      <c r="Z169" s="11">
        <v>11</v>
      </c>
      <c r="AA169" s="11">
        <v>0</v>
      </c>
      <c r="AB169" s="11">
        <v>0</v>
      </c>
      <c r="AC169" s="11">
        <f t="shared" si="19"/>
        <v>11</v>
      </c>
      <c r="AD169" s="20">
        <f t="shared" si="20"/>
        <v>2.646139042578783E-3</v>
      </c>
      <c r="AE169" s="11">
        <f t="shared" si="21"/>
        <v>2.646139042578783</v>
      </c>
      <c r="AF169" s="11">
        <f t="shared" si="22"/>
        <v>0</v>
      </c>
      <c r="AG169" s="11">
        <f t="shared" si="27"/>
        <v>0</v>
      </c>
      <c r="AH169" s="11">
        <f t="shared" si="28"/>
        <v>0</v>
      </c>
      <c r="AI169" t="s">
        <v>62</v>
      </c>
      <c r="AJ169" t="s">
        <v>62</v>
      </c>
      <c r="AK169" t="s">
        <v>944</v>
      </c>
      <c r="AL169" t="s">
        <v>945</v>
      </c>
      <c r="AM169" t="str">
        <f t="shared" si="25"/>
        <v>Saturday</v>
      </c>
      <c r="AN169" t="s">
        <v>62</v>
      </c>
      <c r="AO169" s="31"/>
      <c r="AP169" s="31"/>
      <c r="AQ169" t="s">
        <v>62</v>
      </c>
      <c r="AR169" s="11">
        <f t="shared" si="26"/>
        <v>1.0059084194977843</v>
      </c>
    </row>
    <row r="170" spans="1:44" x14ac:dyDescent="0.3">
      <c r="A170" s="8" t="s">
        <v>771</v>
      </c>
      <c r="B170" s="30" t="s">
        <v>772</v>
      </c>
      <c r="C170" s="23">
        <v>1</v>
      </c>
      <c r="D170" s="21">
        <v>13439</v>
      </c>
      <c r="E170" s="8" t="s">
        <v>42</v>
      </c>
      <c r="F170" t="s">
        <v>285</v>
      </c>
      <c r="G170">
        <v>1</v>
      </c>
      <c r="H170" s="13" t="s">
        <v>47</v>
      </c>
      <c r="I170" s="17">
        <v>46017</v>
      </c>
      <c r="J170" s="2" t="s">
        <v>89</v>
      </c>
      <c r="K170" s="19">
        <f t="shared" ca="1" si="18"/>
        <v>12</v>
      </c>
      <c r="L170" t="s">
        <v>947</v>
      </c>
      <c r="M170" t="s">
        <v>56</v>
      </c>
      <c r="N170" t="s">
        <v>58</v>
      </c>
      <c r="O170" s="11">
        <v>1</v>
      </c>
      <c r="P170" t="s">
        <v>63</v>
      </c>
      <c r="Q170" t="s">
        <v>184</v>
      </c>
      <c r="R170" s="11">
        <v>14</v>
      </c>
      <c r="S170" s="2" t="s">
        <v>99</v>
      </c>
      <c r="T170" t="s">
        <v>63</v>
      </c>
      <c r="U170" t="s">
        <v>948</v>
      </c>
      <c r="V170" t="s">
        <v>141</v>
      </c>
      <c r="W170" t="s">
        <v>76</v>
      </c>
      <c r="X170" t="s">
        <v>949</v>
      </c>
      <c r="Y170" t="s">
        <v>63</v>
      </c>
      <c r="Z170" s="11">
        <v>32</v>
      </c>
      <c r="AA170" s="11">
        <v>26</v>
      </c>
      <c r="AB170" s="11">
        <v>1</v>
      </c>
      <c r="AC170" s="11">
        <f t="shared" si="19"/>
        <v>59</v>
      </c>
      <c r="AD170" s="20">
        <f t="shared" si="20"/>
        <v>4.3902076047324951E-3</v>
      </c>
      <c r="AE170" s="11">
        <f t="shared" si="21"/>
        <v>4.3902076047324954</v>
      </c>
      <c r="AF170" s="11">
        <f t="shared" si="22"/>
        <v>0.19346677580177096</v>
      </c>
      <c r="AG170" s="11">
        <f t="shared" si="27"/>
        <v>7.441029838529652E-3</v>
      </c>
      <c r="AH170" s="11">
        <f t="shared" si="28"/>
        <v>0.8125</v>
      </c>
      <c r="AI170" t="s">
        <v>62</v>
      </c>
      <c r="AJ170" t="s">
        <v>62</v>
      </c>
      <c r="AK170" t="s">
        <v>950</v>
      </c>
      <c r="AL170" t="s">
        <v>951</v>
      </c>
      <c r="AM170" t="str">
        <f t="shared" si="25"/>
        <v>Friday</v>
      </c>
      <c r="AN170" t="s">
        <v>62</v>
      </c>
      <c r="AO170" s="31" t="s">
        <v>957</v>
      </c>
      <c r="AP170" s="31" t="s">
        <v>947</v>
      </c>
      <c r="AQ170" t="s">
        <v>63</v>
      </c>
      <c r="AR170" s="11">
        <f t="shared" si="26"/>
        <v>1.0316906136699342</v>
      </c>
    </row>
    <row r="171" spans="1:44" x14ac:dyDescent="0.3">
      <c r="A171" s="8" t="s">
        <v>771</v>
      </c>
      <c r="B171" s="30"/>
      <c r="C171" s="23">
        <v>1</v>
      </c>
      <c r="D171" s="21">
        <v>13439</v>
      </c>
      <c r="E171" s="8" t="s">
        <v>42</v>
      </c>
      <c r="F171" t="s">
        <v>441</v>
      </c>
      <c r="G171">
        <v>2</v>
      </c>
      <c r="H171" s="13" t="s">
        <v>47</v>
      </c>
      <c r="I171" s="17">
        <v>46016</v>
      </c>
      <c r="J171" s="2" t="s">
        <v>89</v>
      </c>
      <c r="K171" s="19">
        <f t="shared" ca="1" si="18"/>
        <v>13</v>
      </c>
      <c r="L171" t="s">
        <v>53</v>
      </c>
      <c r="M171" t="s">
        <v>56</v>
      </c>
      <c r="N171" t="s">
        <v>58</v>
      </c>
      <c r="O171" s="11">
        <v>1</v>
      </c>
      <c r="P171" t="s">
        <v>62</v>
      </c>
      <c r="Q171" t="s">
        <v>952</v>
      </c>
      <c r="R171" s="11">
        <v>13</v>
      </c>
      <c r="S171" s="2" t="s">
        <v>99</v>
      </c>
      <c r="T171" t="s">
        <v>63</v>
      </c>
      <c r="U171" t="s">
        <v>53</v>
      </c>
      <c r="V171" t="s">
        <v>289</v>
      </c>
      <c r="W171" t="s">
        <v>142</v>
      </c>
      <c r="X171" t="s">
        <v>953</v>
      </c>
      <c r="Y171" t="s">
        <v>62</v>
      </c>
      <c r="Z171" s="11">
        <v>55</v>
      </c>
      <c r="AA171" s="11">
        <v>16</v>
      </c>
      <c r="AB171" s="11">
        <v>0</v>
      </c>
      <c r="AC171" s="11">
        <f t="shared" si="19"/>
        <v>71</v>
      </c>
      <c r="AD171" s="20">
        <f t="shared" si="20"/>
        <v>5.2831311853560534E-3</v>
      </c>
      <c r="AE171" s="11">
        <f t="shared" si="21"/>
        <v>5.2831311853560532</v>
      </c>
      <c r="AF171" s="11">
        <f t="shared" si="22"/>
        <v>0.11905647741647443</v>
      </c>
      <c r="AG171" s="11">
        <f t="shared" si="27"/>
        <v>0</v>
      </c>
      <c r="AH171" s="11">
        <f t="shared" si="28"/>
        <v>0.29090909090909089</v>
      </c>
      <c r="AI171" t="s">
        <v>63</v>
      </c>
      <c r="AJ171" t="s">
        <v>62</v>
      </c>
      <c r="AK171" t="s">
        <v>954</v>
      </c>
      <c r="AL171" t="s">
        <v>244</v>
      </c>
      <c r="AM171" t="str">
        <f t="shared" si="25"/>
        <v>Thursday</v>
      </c>
      <c r="AN171" t="s">
        <v>62</v>
      </c>
      <c r="AO171" s="31"/>
      <c r="AP171" s="31"/>
      <c r="AQ171" t="s">
        <v>63</v>
      </c>
      <c r="AR171" s="11">
        <f t="shared" si="26"/>
        <v>1.0381361622129717</v>
      </c>
    </row>
    <row r="172" spans="1:44" x14ac:dyDescent="0.3">
      <c r="A172" s="8" t="s">
        <v>771</v>
      </c>
      <c r="B172" s="30"/>
      <c r="C172" s="23">
        <v>1</v>
      </c>
      <c r="D172" s="21">
        <v>13439</v>
      </c>
      <c r="E172" s="8" t="s">
        <v>42</v>
      </c>
      <c r="F172" t="s">
        <v>946</v>
      </c>
      <c r="G172">
        <v>3</v>
      </c>
      <c r="H172" s="13" t="s">
        <v>47</v>
      </c>
      <c r="I172" s="17">
        <v>46015</v>
      </c>
      <c r="J172" s="2" t="s">
        <v>89</v>
      </c>
      <c r="K172" s="19">
        <f t="shared" ca="1" si="18"/>
        <v>14</v>
      </c>
      <c r="L172" t="s">
        <v>276</v>
      </c>
      <c r="M172" t="s">
        <v>166</v>
      </c>
      <c r="N172" t="s">
        <v>58</v>
      </c>
      <c r="O172" s="11">
        <v>1</v>
      </c>
      <c r="P172" t="s">
        <v>63</v>
      </c>
      <c r="Q172" t="s">
        <v>955</v>
      </c>
      <c r="R172" s="11">
        <v>15</v>
      </c>
      <c r="S172" s="2" t="s">
        <v>61</v>
      </c>
      <c r="T172" t="s">
        <v>63</v>
      </c>
      <c r="U172" t="s">
        <v>53</v>
      </c>
      <c r="V172" t="s">
        <v>141</v>
      </c>
      <c r="W172" t="s">
        <v>142</v>
      </c>
      <c r="X172" t="s">
        <v>956</v>
      </c>
      <c r="Y172" t="s">
        <v>63</v>
      </c>
      <c r="Z172" s="11">
        <v>64</v>
      </c>
      <c r="AA172" s="11">
        <v>29</v>
      </c>
      <c r="AB172" s="11">
        <v>0</v>
      </c>
      <c r="AC172" s="11">
        <f t="shared" si="19"/>
        <v>93</v>
      </c>
      <c r="AD172" s="20">
        <f t="shared" si="20"/>
        <v>6.9201577498325768E-3</v>
      </c>
      <c r="AE172" s="11">
        <f t="shared" si="21"/>
        <v>6.920157749832577</v>
      </c>
      <c r="AF172" s="11">
        <f t="shared" si="22"/>
        <v>0.21578986531735991</v>
      </c>
      <c r="AG172" s="11">
        <f t="shared" si="27"/>
        <v>0</v>
      </c>
      <c r="AH172" s="11">
        <f t="shared" si="28"/>
        <v>0.453125</v>
      </c>
      <c r="AI172" t="s">
        <v>63</v>
      </c>
      <c r="AJ172" t="s">
        <v>62</v>
      </c>
      <c r="AK172" t="s">
        <v>945</v>
      </c>
      <c r="AL172" s="11" t="s">
        <v>831</v>
      </c>
      <c r="AM172" t="str">
        <f t="shared" si="25"/>
        <v>Wednesday</v>
      </c>
      <c r="AN172" t="s">
        <v>62</v>
      </c>
      <c r="AO172" s="31"/>
      <c r="AP172" s="31"/>
      <c r="AQ172" t="s">
        <v>63</v>
      </c>
      <c r="AR172" s="11">
        <f t="shared" si="26"/>
        <v>1.0499530012085403</v>
      </c>
    </row>
    <row r="173" spans="1:44" x14ac:dyDescent="0.3">
      <c r="A173" s="8" t="s">
        <v>771</v>
      </c>
      <c r="B173" s="30"/>
      <c r="C173" s="23">
        <v>1</v>
      </c>
      <c r="D173" s="21">
        <v>13439</v>
      </c>
      <c r="E173" s="8" t="s">
        <v>42</v>
      </c>
      <c r="F173" t="s">
        <v>365</v>
      </c>
      <c r="G173">
        <v>4</v>
      </c>
      <c r="H173" s="13" t="s">
        <v>47</v>
      </c>
      <c r="I173" s="17">
        <v>46011</v>
      </c>
      <c r="J173" s="2" t="s">
        <v>89</v>
      </c>
      <c r="K173" s="19">
        <f t="shared" ca="1" si="18"/>
        <v>18</v>
      </c>
      <c r="L173" t="s">
        <v>957</v>
      </c>
      <c r="M173" t="s">
        <v>958</v>
      </c>
      <c r="N173" t="s">
        <v>58</v>
      </c>
      <c r="O173" s="11">
        <v>1</v>
      </c>
      <c r="P173" t="s">
        <v>63</v>
      </c>
      <c r="Q173" t="s">
        <v>959</v>
      </c>
      <c r="R173" s="11">
        <v>6</v>
      </c>
      <c r="S173" s="2" t="s">
        <v>99</v>
      </c>
      <c r="T173" t="s">
        <v>63</v>
      </c>
      <c r="U173" t="s">
        <v>960</v>
      </c>
      <c r="V173" t="s">
        <v>141</v>
      </c>
      <c r="W173" t="s">
        <v>142</v>
      </c>
      <c r="X173" t="s">
        <v>961</v>
      </c>
      <c r="Y173" t="s">
        <v>62</v>
      </c>
      <c r="Z173" s="11">
        <v>238</v>
      </c>
      <c r="AA173" s="11">
        <v>22</v>
      </c>
      <c r="AB173" s="11">
        <v>1</v>
      </c>
      <c r="AC173" s="11">
        <f t="shared" si="19"/>
        <v>261</v>
      </c>
      <c r="AD173" s="20">
        <f t="shared" si="20"/>
        <v>1.9421087878562393E-2</v>
      </c>
      <c r="AE173" s="11">
        <f t="shared" si="21"/>
        <v>19.421087878562393</v>
      </c>
      <c r="AF173" s="11">
        <f t="shared" si="22"/>
        <v>0.16370265644765236</v>
      </c>
      <c r="AG173" s="11">
        <f t="shared" si="27"/>
        <v>7.441029838529652E-3</v>
      </c>
      <c r="AH173" s="11">
        <f t="shared" si="28"/>
        <v>9.2436974789915971E-2</v>
      </c>
      <c r="AI173" t="s">
        <v>62</v>
      </c>
      <c r="AJ173" t="s">
        <v>62</v>
      </c>
      <c r="AK173" t="s">
        <v>962</v>
      </c>
      <c r="AL173" t="s">
        <v>480</v>
      </c>
      <c r="AM173" t="str">
        <f t="shared" si="25"/>
        <v>Saturday</v>
      </c>
      <c r="AN173" t="s">
        <v>62</v>
      </c>
      <c r="AO173" s="31"/>
      <c r="AP173" s="31"/>
      <c r="AQ173" t="s">
        <v>63</v>
      </c>
      <c r="AR173" s="11">
        <f t="shared" si="26"/>
        <v>1.1401906808110649</v>
      </c>
    </row>
    <row r="174" spans="1:44" x14ac:dyDescent="0.3">
      <c r="A174" s="8" t="s">
        <v>965</v>
      </c>
      <c r="B174" s="30" t="s">
        <v>966</v>
      </c>
      <c r="C174" s="23">
        <v>1</v>
      </c>
      <c r="D174" s="21">
        <v>2651</v>
      </c>
      <c r="E174" s="8" t="s">
        <v>42</v>
      </c>
      <c r="F174" t="s">
        <v>946</v>
      </c>
      <c r="G174">
        <v>1</v>
      </c>
      <c r="H174" s="13" t="s">
        <v>47</v>
      </c>
      <c r="I174" s="17">
        <v>45987</v>
      </c>
      <c r="J174" s="2" t="s">
        <v>48</v>
      </c>
      <c r="K174" s="19">
        <f t="shared" ca="1" si="18"/>
        <v>42</v>
      </c>
      <c r="L174" t="s">
        <v>969</v>
      </c>
      <c r="M174" t="s">
        <v>55</v>
      </c>
      <c r="N174" t="s">
        <v>58</v>
      </c>
      <c r="O174" s="11">
        <v>5</v>
      </c>
      <c r="P174" t="s">
        <v>63</v>
      </c>
      <c r="Q174" t="s">
        <v>970</v>
      </c>
      <c r="R174" s="11">
        <v>19</v>
      </c>
      <c r="S174" s="2" t="s">
        <v>61</v>
      </c>
      <c r="T174" t="s">
        <v>63</v>
      </c>
      <c r="U174" t="s">
        <v>613</v>
      </c>
      <c r="V174" t="s">
        <v>141</v>
      </c>
      <c r="W174" t="s">
        <v>76</v>
      </c>
      <c r="X174" t="s">
        <v>385</v>
      </c>
      <c r="Y174" t="s">
        <v>62</v>
      </c>
      <c r="Z174" s="11">
        <v>234</v>
      </c>
      <c r="AA174" s="11">
        <v>3</v>
      </c>
      <c r="AB174" s="11">
        <v>0</v>
      </c>
      <c r="AC174" s="11">
        <f t="shared" si="19"/>
        <v>237</v>
      </c>
      <c r="AD174" s="20">
        <f t="shared" si="20"/>
        <v>8.9400226329686916E-2</v>
      </c>
      <c r="AE174" s="11">
        <f t="shared" si="21"/>
        <v>89.400226329686916</v>
      </c>
      <c r="AF174" s="11">
        <f t="shared" si="22"/>
        <v>0.1131648434552999</v>
      </c>
      <c r="AG174" s="11">
        <f t="shared" si="27"/>
        <v>0</v>
      </c>
      <c r="AH174" s="11">
        <f t="shared" si="28"/>
        <v>1.282051282051282E-2</v>
      </c>
      <c r="AI174" t="s">
        <v>62</v>
      </c>
      <c r="AJ174" t="s">
        <v>63</v>
      </c>
      <c r="AK174" t="s">
        <v>321</v>
      </c>
      <c r="AL174" t="s">
        <v>71</v>
      </c>
      <c r="AM174" t="str">
        <f t="shared" si="25"/>
        <v>Wednesday</v>
      </c>
      <c r="AN174" t="s">
        <v>62</v>
      </c>
      <c r="AO174" s="31" t="s">
        <v>969</v>
      </c>
      <c r="AP174" s="31" t="s">
        <v>400</v>
      </c>
      <c r="AQ174" t="s">
        <v>63</v>
      </c>
      <c r="AR174" s="11">
        <f t="shared" si="26"/>
        <v>1.12729958372499</v>
      </c>
    </row>
    <row r="175" spans="1:44" x14ac:dyDescent="0.3">
      <c r="A175" s="8" t="s">
        <v>965</v>
      </c>
      <c r="B175" s="30"/>
      <c r="C175" s="23">
        <v>1</v>
      </c>
      <c r="D175" s="21">
        <v>2651</v>
      </c>
      <c r="E175" s="8" t="s">
        <v>42</v>
      </c>
      <c r="F175" t="s">
        <v>158</v>
      </c>
      <c r="G175">
        <v>2</v>
      </c>
      <c r="H175" s="13" t="s">
        <v>47</v>
      </c>
      <c r="I175" s="17">
        <v>45987</v>
      </c>
      <c r="J175" s="2" t="s">
        <v>48</v>
      </c>
      <c r="K175" s="19">
        <f t="shared" ca="1" si="18"/>
        <v>42</v>
      </c>
      <c r="L175" t="s">
        <v>971</v>
      </c>
      <c r="M175" t="s">
        <v>55</v>
      </c>
      <c r="N175" t="s">
        <v>58</v>
      </c>
      <c r="O175" s="11">
        <v>4</v>
      </c>
      <c r="P175" t="s">
        <v>63</v>
      </c>
      <c r="Q175" t="s">
        <v>972</v>
      </c>
      <c r="R175" s="11">
        <v>15</v>
      </c>
      <c r="S175" s="2" t="s">
        <v>61</v>
      </c>
      <c r="T175" t="s">
        <v>63</v>
      </c>
      <c r="U175" t="s">
        <v>973</v>
      </c>
      <c r="V175" t="s">
        <v>141</v>
      </c>
      <c r="W175" t="s">
        <v>76</v>
      </c>
      <c r="X175" t="s">
        <v>385</v>
      </c>
      <c r="Y175" t="s">
        <v>62</v>
      </c>
      <c r="Z175" s="11">
        <v>85</v>
      </c>
      <c r="AA175" s="11">
        <v>2</v>
      </c>
      <c r="AB175" s="11">
        <v>1</v>
      </c>
      <c r="AC175" s="11">
        <f t="shared" si="19"/>
        <v>88</v>
      </c>
      <c r="AD175" s="20">
        <f t="shared" si="20"/>
        <v>3.3195020746887967E-2</v>
      </c>
      <c r="AE175" s="11">
        <f t="shared" si="21"/>
        <v>33.19502074688797</v>
      </c>
      <c r="AF175" s="11">
        <f t="shared" si="22"/>
        <v>7.5443228970199921E-2</v>
      </c>
      <c r="AG175" s="11">
        <f t="shared" si="27"/>
        <v>3.7721614485099961E-2</v>
      </c>
      <c r="AH175" s="11">
        <f t="shared" si="28"/>
        <v>2.3529411764705882E-2</v>
      </c>
      <c r="AI175" t="s">
        <v>62</v>
      </c>
      <c r="AJ175" t="s">
        <v>63</v>
      </c>
      <c r="AK175" t="s">
        <v>286</v>
      </c>
      <c r="AL175" t="s">
        <v>974</v>
      </c>
      <c r="AM175" t="str">
        <f t="shared" si="25"/>
        <v>Wednesday</v>
      </c>
      <c r="AN175" t="s">
        <v>62</v>
      </c>
      <c r="AO175" s="31"/>
      <c r="AP175" s="31"/>
      <c r="AQ175" t="s">
        <v>63</v>
      </c>
      <c r="AR175" s="11">
        <f t="shared" si="26"/>
        <v>1.0472673559822747</v>
      </c>
    </row>
    <row r="176" spans="1:44" x14ac:dyDescent="0.3">
      <c r="A176" s="8" t="s">
        <v>965</v>
      </c>
      <c r="B176" s="30"/>
      <c r="C176" s="23">
        <v>1</v>
      </c>
      <c r="D176" s="21">
        <v>2651</v>
      </c>
      <c r="E176" s="8" t="s">
        <v>42</v>
      </c>
      <c r="F176" t="s">
        <v>967</v>
      </c>
      <c r="G176">
        <v>3</v>
      </c>
      <c r="H176" s="13" t="s">
        <v>47</v>
      </c>
      <c r="I176" s="17">
        <v>45987</v>
      </c>
      <c r="J176" s="2" t="s">
        <v>48</v>
      </c>
      <c r="K176" s="19">
        <f t="shared" ca="1" si="18"/>
        <v>42</v>
      </c>
      <c r="L176" t="s">
        <v>400</v>
      </c>
      <c r="M176" t="s">
        <v>55</v>
      </c>
      <c r="N176" t="s">
        <v>58</v>
      </c>
      <c r="O176" s="11">
        <v>5</v>
      </c>
      <c r="P176" t="s">
        <v>63</v>
      </c>
      <c r="Q176" t="s">
        <v>975</v>
      </c>
      <c r="R176" s="11">
        <v>7</v>
      </c>
      <c r="S176" s="2" t="s">
        <v>61</v>
      </c>
      <c r="T176" t="s">
        <v>63</v>
      </c>
      <c r="U176" t="s">
        <v>973</v>
      </c>
      <c r="V176" t="s">
        <v>141</v>
      </c>
      <c r="W176" t="s">
        <v>76</v>
      </c>
      <c r="X176" t="s">
        <v>385</v>
      </c>
      <c r="Y176" t="s">
        <v>62</v>
      </c>
      <c r="Z176" s="11">
        <v>62</v>
      </c>
      <c r="AA176" s="11">
        <v>0</v>
      </c>
      <c r="AB176" s="11">
        <v>1</v>
      </c>
      <c r="AC176" s="11">
        <f t="shared" si="19"/>
        <v>63</v>
      </c>
      <c r="AD176" s="20">
        <f t="shared" si="20"/>
        <v>2.3764617125612977E-2</v>
      </c>
      <c r="AE176" s="11">
        <f t="shared" si="21"/>
        <v>23.764617125612975</v>
      </c>
      <c r="AF176" s="11">
        <f t="shared" si="22"/>
        <v>0</v>
      </c>
      <c r="AG176" s="11">
        <f t="shared" si="27"/>
        <v>3.7721614485099961E-2</v>
      </c>
      <c r="AH176" s="11">
        <f t="shared" si="28"/>
        <v>0</v>
      </c>
      <c r="AI176" t="s">
        <v>62</v>
      </c>
      <c r="AJ176" t="s">
        <v>63</v>
      </c>
      <c r="AK176" t="s">
        <v>976</v>
      </c>
      <c r="AL176" t="s">
        <v>974</v>
      </c>
      <c r="AM176" t="str">
        <f t="shared" si="25"/>
        <v>Wednesday</v>
      </c>
      <c r="AN176" t="s">
        <v>62</v>
      </c>
      <c r="AO176" s="31"/>
      <c r="AP176" s="31"/>
      <c r="AQ176" t="s">
        <v>63</v>
      </c>
      <c r="AR176" s="11">
        <f t="shared" si="26"/>
        <v>1.0338391298509466</v>
      </c>
    </row>
    <row r="177" spans="1:44" x14ac:dyDescent="0.3">
      <c r="A177" s="8" t="s">
        <v>965</v>
      </c>
      <c r="B177" s="30"/>
      <c r="C177" s="23">
        <v>1</v>
      </c>
      <c r="D177" s="21">
        <v>2651</v>
      </c>
      <c r="E177" s="8" t="s">
        <v>42</v>
      </c>
      <c r="F177" t="s">
        <v>968</v>
      </c>
      <c r="G177">
        <v>4</v>
      </c>
      <c r="H177" s="13" t="s">
        <v>47</v>
      </c>
      <c r="I177" s="17">
        <v>45920</v>
      </c>
      <c r="J177" s="2" t="s">
        <v>48</v>
      </c>
      <c r="K177" s="19">
        <f t="shared" ca="1" si="18"/>
        <v>109</v>
      </c>
      <c r="L177" t="s">
        <v>977</v>
      </c>
      <c r="M177" t="s">
        <v>55</v>
      </c>
      <c r="N177" t="s">
        <v>58</v>
      </c>
      <c r="O177" s="11">
        <v>9</v>
      </c>
      <c r="P177" t="s">
        <v>63</v>
      </c>
      <c r="Q177" t="s">
        <v>975</v>
      </c>
      <c r="R177" s="11">
        <v>17</v>
      </c>
      <c r="S177" s="2" t="s">
        <v>61</v>
      </c>
      <c r="T177" t="s">
        <v>63</v>
      </c>
      <c r="U177" t="s">
        <v>385</v>
      </c>
      <c r="V177" t="s">
        <v>141</v>
      </c>
      <c r="W177" t="s">
        <v>76</v>
      </c>
      <c r="X177" t="s">
        <v>641</v>
      </c>
      <c r="Y177" t="s">
        <v>62</v>
      </c>
      <c r="Z177" s="11">
        <v>187</v>
      </c>
      <c r="AA177" s="11">
        <v>0</v>
      </c>
      <c r="AB177" s="11">
        <v>0</v>
      </c>
      <c r="AC177" s="11">
        <f t="shared" si="19"/>
        <v>187</v>
      </c>
      <c r="AD177" s="20">
        <f t="shared" si="20"/>
        <v>7.0539419087136929E-2</v>
      </c>
      <c r="AE177" s="11">
        <f t="shared" si="21"/>
        <v>70.539419087136935</v>
      </c>
      <c r="AF177" s="11">
        <f t="shared" si="22"/>
        <v>0</v>
      </c>
      <c r="AG177" s="11">
        <f t="shared" si="27"/>
        <v>0</v>
      </c>
      <c r="AH177" s="11">
        <f t="shared" si="28"/>
        <v>0</v>
      </c>
      <c r="AI177" t="s">
        <v>63</v>
      </c>
      <c r="AJ177" t="s">
        <v>63</v>
      </c>
      <c r="AK177" t="s">
        <v>401</v>
      </c>
      <c r="AL177" t="s">
        <v>974</v>
      </c>
      <c r="AM177" t="str">
        <f t="shared" si="25"/>
        <v>Saturday</v>
      </c>
      <c r="AN177" t="s">
        <v>62</v>
      </c>
      <c r="AO177" s="31"/>
      <c r="AP177" s="31"/>
      <c r="AQ177" t="s">
        <v>63</v>
      </c>
      <c r="AR177" s="11">
        <f t="shared" si="26"/>
        <v>1.1004431314623337</v>
      </c>
    </row>
    <row r="178" spans="1:44" x14ac:dyDescent="0.3">
      <c r="A178" s="8" t="s">
        <v>963</v>
      </c>
      <c r="B178" s="30" t="s">
        <v>964</v>
      </c>
      <c r="C178" s="23">
        <v>5</v>
      </c>
      <c r="D178" s="19">
        <v>5627</v>
      </c>
      <c r="E178" s="8" t="s">
        <v>42</v>
      </c>
      <c r="F178" t="s">
        <v>978</v>
      </c>
      <c r="G178">
        <v>1</v>
      </c>
      <c r="H178" s="13" t="s">
        <v>47</v>
      </c>
      <c r="I178" s="17">
        <v>46017</v>
      </c>
      <c r="J178" s="2" t="s">
        <v>48</v>
      </c>
      <c r="K178" s="19">
        <f t="shared" ca="1" si="18"/>
        <v>12</v>
      </c>
      <c r="L178" t="s">
        <v>50</v>
      </c>
      <c r="M178" t="s">
        <v>52</v>
      </c>
      <c r="N178" t="s">
        <v>57</v>
      </c>
      <c r="O178" s="11">
        <v>1</v>
      </c>
      <c r="P178" t="s">
        <v>62</v>
      </c>
      <c r="Q178" t="s">
        <v>982</v>
      </c>
      <c r="R178" s="11">
        <v>16</v>
      </c>
      <c r="S178" s="2" t="s">
        <v>61</v>
      </c>
      <c r="T178" t="s">
        <v>63</v>
      </c>
      <c r="U178" t="s">
        <v>983</v>
      </c>
      <c r="V178" t="s">
        <v>984</v>
      </c>
      <c r="W178" t="s">
        <v>69</v>
      </c>
      <c r="X178" t="s">
        <v>403</v>
      </c>
      <c r="Y178" t="s">
        <v>62</v>
      </c>
      <c r="Z178" s="11">
        <v>1</v>
      </c>
      <c r="AA178" s="11">
        <v>0</v>
      </c>
      <c r="AB178" s="11">
        <v>0</v>
      </c>
      <c r="AC178" s="11">
        <f t="shared" si="19"/>
        <v>1</v>
      </c>
      <c r="AD178" s="20">
        <f t="shared" si="20"/>
        <v>1.7771459036786921E-4</v>
      </c>
      <c r="AE178" s="11">
        <f t="shared" si="21"/>
        <v>0.17771459036786921</v>
      </c>
      <c r="AF178" s="11">
        <f t="shared" si="22"/>
        <v>0</v>
      </c>
      <c r="AG178" s="11">
        <f t="shared" si="27"/>
        <v>0</v>
      </c>
      <c r="AH178" s="11">
        <f t="shared" si="28"/>
        <v>0</v>
      </c>
      <c r="AI178" t="s">
        <v>62</v>
      </c>
      <c r="AJ178" t="s">
        <v>63</v>
      </c>
      <c r="AK178" t="s">
        <v>985</v>
      </c>
      <c r="AL178" t="s">
        <v>608</v>
      </c>
      <c r="AM178" t="str">
        <f t="shared" si="25"/>
        <v>Friday</v>
      </c>
      <c r="AN178" t="s">
        <v>62</v>
      </c>
      <c r="AO178" s="31" t="s">
        <v>844</v>
      </c>
      <c r="AP178" s="31" t="s">
        <v>52</v>
      </c>
      <c r="AQ178" t="s">
        <v>62</v>
      </c>
      <c r="AR178" s="11">
        <f t="shared" si="26"/>
        <v>1.0005371290452532</v>
      </c>
    </row>
    <row r="179" spans="1:44" x14ac:dyDescent="0.3">
      <c r="A179" s="8" t="s">
        <v>963</v>
      </c>
      <c r="B179" s="30"/>
      <c r="C179" s="23">
        <v>5</v>
      </c>
      <c r="D179" s="19">
        <v>5627</v>
      </c>
      <c r="E179" s="8" t="s">
        <v>42</v>
      </c>
      <c r="F179" t="s">
        <v>979</v>
      </c>
      <c r="G179">
        <v>2</v>
      </c>
      <c r="H179" s="13" t="s">
        <v>47</v>
      </c>
      <c r="I179" s="17">
        <v>46016</v>
      </c>
      <c r="J179" s="2" t="s">
        <v>48</v>
      </c>
      <c r="K179" s="19">
        <f t="shared" ca="1" si="18"/>
        <v>13</v>
      </c>
      <c r="L179" t="s">
        <v>986</v>
      </c>
      <c r="M179" t="s">
        <v>987</v>
      </c>
      <c r="N179" t="s">
        <v>58</v>
      </c>
      <c r="O179" s="11">
        <v>1</v>
      </c>
      <c r="P179" t="s">
        <v>63</v>
      </c>
      <c r="Q179" t="s">
        <v>988</v>
      </c>
      <c r="R179" s="11">
        <v>6</v>
      </c>
      <c r="S179" s="2" t="s">
        <v>75</v>
      </c>
      <c r="T179" t="s">
        <v>63</v>
      </c>
      <c r="U179" t="s">
        <v>973</v>
      </c>
      <c r="V179" t="s">
        <v>141</v>
      </c>
      <c r="W179" t="s">
        <v>142</v>
      </c>
      <c r="X179" t="s">
        <v>989</v>
      </c>
      <c r="Y179" t="s">
        <v>62</v>
      </c>
      <c r="Z179" s="11">
        <v>10</v>
      </c>
      <c r="AA179" s="11">
        <v>2</v>
      </c>
      <c r="AB179" s="11">
        <v>1</v>
      </c>
      <c r="AC179" s="11">
        <f t="shared" si="19"/>
        <v>13</v>
      </c>
      <c r="AD179" s="20">
        <f t="shared" si="20"/>
        <v>2.3102896747822996E-3</v>
      </c>
      <c r="AE179" s="11">
        <f t="shared" si="21"/>
        <v>2.3102896747822994</v>
      </c>
      <c r="AF179" s="11">
        <f t="shared" si="22"/>
        <v>3.5542918073573841E-2</v>
      </c>
      <c r="AG179" s="11">
        <f t="shared" si="27"/>
        <v>1.7771459036786921E-2</v>
      </c>
      <c r="AH179" s="11">
        <f t="shared" si="28"/>
        <v>0.2</v>
      </c>
      <c r="AI179" t="s">
        <v>63</v>
      </c>
      <c r="AJ179" t="s">
        <v>63</v>
      </c>
      <c r="AK179" t="s">
        <v>990</v>
      </c>
      <c r="AL179" t="s">
        <v>231</v>
      </c>
      <c r="AM179" t="str">
        <f t="shared" si="25"/>
        <v>Thursday</v>
      </c>
      <c r="AN179" t="s">
        <v>62</v>
      </c>
      <c r="AO179" s="31"/>
      <c r="AP179" s="31"/>
      <c r="AQ179" t="s">
        <v>62</v>
      </c>
      <c r="AR179" s="11">
        <f t="shared" si="26"/>
        <v>1.0069826775882906</v>
      </c>
    </row>
    <row r="180" spans="1:44" x14ac:dyDescent="0.3">
      <c r="A180" s="8" t="s">
        <v>963</v>
      </c>
      <c r="B180" s="30"/>
      <c r="C180" s="23">
        <v>5</v>
      </c>
      <c r="D180" s="19">
        <v>5627</v>
      </c>
      <c r="E180" s="8" t="s">
        <v>42</v>
      </c>
      <c r="F180" t="s">
        <v>980</v>
      </c>
      <c r="G180">
        <v>3</v>
      </c>
      <c r="H180" s="13" t="s">
        <v>47</v>
      </c>
      <c r="I180" s="17">
        <v>46015</v>
      </c>
      <c r="J180" s="2" t="s">
        <v>48</v>
      </c>
      <c r="K180" s="19">
        <f t="shared" ca="1" si="18"/>
        <v>14</v>
      </c>
      <c r="L180" t="s">
        <v>50</v>
      </c>
      <c r="M180" t="s">
        <v>958</v>
      </c>
      <c r="N180" t="s">
        <v>58</v>
      </c>
      <c r="O180" s="11">
        <v>1</v>
      </c>
      <c r="P180" t="s">
        <v>63</v>
      </c>
      <c r="Q180" t="s">
        <v>991</v>
      </c>
      <c r="R180" s="11">
        <v>11</v>
      </c>
      <c r="S180" s="2" t="s">
        <v>75</v>
      </c>
      <c r="T180" t="s">
        <v>63</v>
      </c>
      <c r="U180" t="s">
        <v>992</v>
      </c>
      <c r="V180" t="s">
        <v>984</v>
      </c>
      <c r="W180" t="s">
        <v>69</v>
      </c>
      <c r="X180" t="s">
        <v>993</v>
      </c>
      <c r="Y180" t="s">
        <v>62</v>
      </c>
      <c r="Z180" s="11">
        <v>2</v>
      </c>
      <c r="AA180" s="11">
        <v>0</v>
      </c>
      <c r="AB180" s="11">
        <v>0</v>
      </c>
      <c r="AC180" s="11">
        <f>Z180+AA180+AB180</f>
        <v>2</v>
      </c>
      <c r="AD180" s="20">
        <f t="shared" si="20"/>
        <v>3.5542918073573843E-4</v>
      </c>
      <c r="AE180" s="11">
        <f t="shared" si="21"/>
        <v>0.35542918073573843</v>
      </c>
      <c r="AF180" s="11">
        <f t="shared" si="22"/>
        <v>0</v>
      </c>
      <c r="AG180" s="11">
        <f t="shared" si="27"/>
        <v>0</v>
      </c>
      <c r="AH180" s="11">
        <f t="shared" si="28"/>
        <v>0</v>
      </c>
      <c r="AI180" t="s">
        <v>63</v>
      </c>
      <c r="AJ180" t="s">
        <v>63</v>
      </c>
      <c r="AK180" t="s">
        <v>994</v>
      </c>
      <c r="AL180" t="s">
        <v>608</v>
      </c>
      <c r="AM180" t="str">
        <f t="shared" si="25"/>
        <v>Wednesday</v>
      </c>
      <c r="AN180" t="s">
        <v>62</v>
      </c>
      <c r="AO180" s="31"/>
      <c r="AP180" s="31"/>
      <c r="AQ180" t="s">
        <v>62</v>
      </c>
      <c r="AR180" s="11">
        <f t="shared" si="26"/>
        <v>1.0010742580905063</v>
      </c>
    </row>
    <row r="181" spans="1:44" x14ac:dyDescent="0.3">
      <c r="A181" s="8" t="s">
        <v>963</v>
      </c>
      <c r="B181" s="30"/>
      <c r="C181" s="23">
        <v>5</v>
      </c>
      <c r="D181" s="19">
        <v>5627</v>
      </c>
      <c r="E181" s="8" t="s">
        <v>42</v>
      </c>
      <c r="F181" t="s">
        <v>981</v>
      </c>
      <c r="G181">
        <v>4</v>
      </c>
      <c r="H181" s="13" t="s">
        <v>47</v>
      </c>
      <c r="I181" s="17">
        <v>46013</v>
      </c>
      <c r="J181" s="2" t="s">
        <v>48</v>
      </c>
      <c r="K181" s="19">
        <f t="shared" ca="1" si="18"/>
        <v>16</v>
      </c>
      <c r="L181" t="s">
        <v>995</v>
      </c>
      <c r="M181" t="s">
        <v>164</v>
      </c>
      <c r="N181" t="s">
        <v>57</v>
      </c>
      <c r="O181" s="11">
        <v>1</v>
      </c>
      <c r="P181" t="s">
        <v>63</v>
      </c>
      <c r="Q181" t="s">
        <v>996</v>
      </c>
      <c r="R181" s="11">
        <v>7</v>
      </c>
      <c r="S181" s="2" t="s">
        <v>99</v>
      </c>
      <c r="T181" t="s">
        <v>63</v>
      </c>
      <c r="U181" t="s">
        <v>926</v>
      </c>
      <c r="V181" t="s">
        <v>984</v>
      </c>
      <c r="W181" t="s">
        <v>76</v>
      </c>
      <c r="X181" t="s">
        <v>997</v>
      </c>
      <c r="Y181" t="s">
        <v>63</v>
      </c>
      <c r="Z181" s="11">
        <v>7</v>
      </c>
      <c r="AA181" s="11">
        <v>0</v>
      </c>
      <c r="AB181" s="11">
        <v>0</v>
      </c>
      <c r="AC181" s="11">
        <f t="shared" ref="AC181:AC224" si="29">Z181+AA181+AB181</f>
        <v>7</v>
      </c>
      <c r="AD181" s="20">
        <f t="shared" si="20"/>
        <v>1.2440021325750845E-3</v>
      </c>
      <c r="AE181" s="11">
        <f t="shared" si="21"/>
        <v>1.2440021325750845</v>
      </c>
      <c r="AF181" s="11">
        <f t="shared" si="22"/>
        <v>0</v>
      </c>
      <c r="AG181" s="11">
        <f t="shared" si="27"/>
        <v>0</v>
      </c>
      <c r="AH181" s="11">
        <f t="shared" si="28"/>
        <v>0</v>
      </c>
      <c r="AI181" t="s">
        <v>62</v>
      </c>
      <c r="AJ181" t="s">
        <v>63</v>
      </c>
      <c r="AK181" t="s">
        <v>998</v>
      </c>
      <c r="AL181" t="s">
        <v>190</v>
      </c>
      <c r="AM181" t="str">
        <f t="shared" si="25"/>
        <v>Monday</v>
      </c>
      <c r="AN181" t="s">
        <v>62</v>
      </c>
      <c r="AO181" s="31"/>
      <c r="AP181" s="31"/>
      <c r="AQ181" t="s">
        <v>62</v>
      </c>
      <c r="AR181" s="11">
        <f t="shared" si="26"/>
        <v>1.0037599033167719</v>
      </c>
    </row>
    <row r="182" spans="1:44" x14ac:dyDescent="0.3">
      <c r="A182" s="8" t="s">
        <v>1029</v>
      </c>
      <c r="B182" s="30" t="s">
        <v>1030</v>
      </c>
      <c r="C182" s="23">
        <v>1</v>
      </c>
      <c r="D182" s="19">
        <v>1664</v>
      </c>
      <c r="E182" s="8" t="s">
        <v>42</v>
      </c>
      <c r="F182" t="s">
        <v>569</v>
      </c>
      <c r="G182">
        <v>1</v>
      </c>
      <c r="H182" s="13" t="s">
        <v>47</v>
      </c>
      <c r="I182" s="17">
        <v>46012</v>
      </c>
      <c r="J182" s="2" t="s">
        <v>48</v>
      </c>
      <c r="K182" s="19">
        <f t="shared" ca="1" si="18"/>
        <v>17</v>
      </c>
      <c r="L182" t="s">
        <v>1033</v>
      </c>
      <c r="M182" t="s">
        <v>1034</v>
      </c>
      <c r="N182" t="s">
        <v>1032</v>
      </c>
      <c r="O182" s="11">
        <v>1</v>
      </c>
      <c r="P182" t="s">
        <v>62</v>
      </c>
      <c r="Q182" t="s">
        <v>1035</v>
      </c>
      <c r="R182" s="11">
        <v>11</v>
      </c>
      <c r="S182" s="2" t="s">
        <v>99</v>
      </c>
      <c r="T182" t="s">
        <v>63</v>
      </c>
      <c r="U182" t="s">
        <v>273</v>
      </c>
      <c r="V182" t="s">
        <v>179</v>
      </c>
      <c r="W182" t="s">
        <v>142</v>
      </c>
      <c r="X182" t="s">
        <v>78</v>
      </c>
      <c r="Y182" t="s">
        <v>63</v>
      </c>
      <c r="Z182" s="11">
        <v>6</v>
      </c>
      <c r="AA182" s="11">
        <v>3</v>
      </c>
      <c r="AB182" s="11">
        <v>0</v>
      </c>
      <c r="AC182" s="11">
        <f t="shared" si="29"/>
        <v>9</v>
      </c>
      <c r="AD182" s="20">
        <f t="shared" si="20"/>
        <v>5.408653846153846E-3</v>
      </c>
      <c r="AE182" s="11">
        <f t="shared" si="21"/>
        <v>5.4086538461538458</v>
      </c>
      <c r="AF182" s="11">
        <f t="shared" si="22"/>
        <v>0.18028846153846154</v>
      </c>
      <c r="AG182" s="11">
        <f t="shared" si="27"/>
        <v>0</v>
      </c>
      <c r="AH182" s="11">
        <f t="shared" si="28"/>
        <v>0.5</v>
      </c>
      <c r="AI182" t="s">
        <v>62</v>
      </c>
      <c r="AJ182" t="s">
        <v>62</v>
      </c>
      <c r="AK182" t="s">
        <v>1036</v>
      </c>
      <c r="AL182" t="s">
        <v>188</v>
      </c>
      <c r="AM182" t="str">
        <f t="shared" si="25"/>
        <v>Sunday</v>
      </c>
      <c r="AN182" t="s">
        <v>62</v>
      </c>
      <c r="AO182" s="31" t="s">
        <v>1043</v>
      </c>
      <c r="AP182" s="31" t="s">
        <v>1033</v>
      </c>
      <c r="AQ182" t="s">
        <v>63</v>
      </c>
      <c r="AR182" s="11">
        <f t="shared" si="26"/>
        <v>1.004834161407278</v>
      </c>
    </row>
    <row r="183" spans="1:44" x14ac:dyDescent="0.3">
      <c r="A183" s="8" t="s">
        <v>1029</v>
      </c>
      <c r="B183" s="30"/>
      <c r="C183" s="23">
        <v>1</v>
      </c>
      <c r="D183" s="19">
        <v>1664</v>
      </c>
      <c r="E183" s="8" t="s">
        <v>42</v>
      </c>
      <c r="F183" t="s">
        <v>1031</v>
      </c>
      <c r="G183">
        <v>2</v>
      </c>
      <c r="H183" s="13" t="s">
        <v>47</v>
      </c>
      <c r="I183" s="17">
        <v>46011</v>
      </c>
      <c r="J183" s="2" t="s">
        <v>48</v>
      </c>
      <c r="K183" s="19">
        <f ca="1">IF(ISNUMBER(I183), TODAY() - I183, "")</f>
        <v>18</v>
      </c>
      <c r="L183" t="s">
        <v>1037</v>
      </c>
      <c r="M183" t="s">
        <v>1038</v>
      </c>
      <c r="N183" t="s">
        <v>57</v>
      </c>
      <c r="O183" s="11">
        <v>1</v>
      </c>
      <c r="P183" t="s">
        <v>62</v>
      </c>
      <c r="Q183" t="s">
        <v>144</v>
      </c>
      <c r="R183" s="11">
        <v>6</v>
      </c>
      <c r="S183" s="2" t="s">
        <v>61</v>
      </c>
      <c r="T183" t="s">
        <v>63</v>
      </c>
      <c r="U183" t="s">
        <v>992</v>
      </c>
      <c r="V183" t="s">
        <v>141</v>
      </c>
      <c r="W183" t="s">
        <v>69</v>
      </c>
      <c r="X183" t="s">
        <v>403</v>
      </c>
      <c r="Y183" t="s">
        <v>62</v>
      </c>
      <c r="Z183" s="11">
        <v>11</v>
      </c>
      <c r="AA183" s="11">
        <v>3</v>
      </c>
      <c r="AB183" s="11">
        <v>0</v>
      </c>
      <c r="AC183" s="11">
        <f t="shared" si="29"/>
        <v>14</v>
      </c>
      <c r="AD183" s="20">
        <f t="shared" si="20"/>
        <v>8.4134615384615381E-3</v>
      </c>
      <c r="AE183" s="11">
        <f t="shared" si="21"/>
        <v>8.4134615384615383</v>
      </c>
      <c r="AF183" s="11">
        <f t="shared" si="22"/>
        <v>0.18028846153846154</v>
      </c>
      <c r="AG183" s="11">
        <f t="shared" si="27"/>
        <v>0</v>
      </c>
      <c r="AH183" s="11">
        <f t="shared" si="28"/>
        <v>0.27272727272727271</v>
      </c>
      <c r="AI183" t="s">
        <v>63</v>
      </c>
      <c r="AJ183" t="s">
        <v>63</v>
      </c>
      <c r="AK183" t="s">
        <v>1039</v>
      </c>
      <c r="AL183" s="11" t="s">
        <v>608</v>
      </c>
      <c r="AM183" t="str">
        <f>TEXT(I183,"dddd")</f>
        <v>Saturday</v>
      </c>
      <c r="AN183" t="s">
        <v>62</v>
      </c>
      <c r="AO183" s="31"/>
      <c r="AP183" s="31"/>
      <c r="AQ183" t="s">
        <v>63</v>
      </c>
      <c r="AR183" s="11">
        <f t="shared" si="26"/>
        <v>1.0075198066335438</v>
      </c>
    </row>
    <row r="184" spans="1:44" x14ac:dyDescent="0.3">
      <c r="A184" s="8" t="s">
        <v>1029</v>
      </c>
      <c r="B184" s="30"/>
      <c r="C184" s="23">
        <v>1</v>
      </c>
      <c r="D184" s="19">
        <v>1664</v>
      </c>
      <c r="E184" s="8" t="s">
        <v>42</v>
      </c>
      <c r="F184" t="s">
        <v>978</v>
      </c>
      <c r="G184">
        <v>3</v>
      </c>
      <c r="H184" s="13" t="s">
        <v>47</v>
      </c>
      <c r="I184" s="17">
        <v>46011</v>
      </c>
      <c r="J184" s="2" t="s">
        <v>48</v>
      </c>
      <c r="K184" s="19">
        <f t="shared" ref="K184:K188" ca="1" si="30">IF(ISNUMBER(I184), TODAY() - I184, "")</f>
        <v>18</v>
      </c>
      <c r="L184" t="s">
        <v>50</v>
      </c>
      <c r="M184" t="s">
        <v>1038</v>
      </c>
      <c r="N184" t="s">
        <v>58</v>
      </c>
      <c r="O184" s="11">
        <v>1</v>
      </c>
      <c r="P184" t="s">
        <v>62</v>
      </c>
      <c r="Q184" t="s">
        <v>1040</v>
      </c>
      <c r="R184" s="11">
        <v>8</v>
      </c>
      <c r="S184" s="2" t="s">
        <v>99</v>
      </c>
      <c r="T184" t="s">
        <v>63</v>
      </c>
      <c r="U184" t="s">
        <v>992</v>
      </c>
      <c r="V184" t="s">
        <v>173</v>
      </c>
      <c r="W184" t="s">
        <v>69</v>
      </c>
      <c r="X184" t="s">
        <v>1041</v>
      </c>
      <c r="Y184" t="s">
        <v>62</v>
      </c>
      <c r="Z184" s="11">
        <v>10</v>
      </c>
      <c r="AA184" s="11">
        <v>6</v>
      </c>
      <c r="AB184" s="11">
        <v>1</v>
      </c>
      <c r="AC184" s="11">
        <f t="shared" si="29"/>
        <v>17</v>
      </c>
      <c r="AD184" s="20">
        <f t="shared" si="20"/>
        <v>1.0216346153846154E-2</v>
      </c>
      <c r="AE184" s="11">
        <f t="shared" si="21"/>
        <v>10.216346153846153</v>
      </c>
      <c r="AF184" s="11">
        <f t="shared" si="22"/>
        <v>0.36057692307692307</v>
      </c>
      <c r="AG184" s="11">
        <f t="shared" si="27"/>
        <v>6.0096153846153848E-2</v>
      </c>
      <c r="AH184" s="11">
        <f t="shared" si="28"/>
        <v>0.6</v>
      </c>
      <c r="AI184" t="s">
        <v>62</v>
      </c>
      <c r="AJ184" t="s">
        <v>63</v>
      </c>
      <c r="AK184" t="s">
        <v>1042</v>
      </c>
      <c r="AL184" t="s">
        <v>250</v>
      </c>
      <c r="AM184" t="str">
        <f t="shared" ref="AM184:AM188" si="31">TEXT(I184,"dddd")</f>
        <v>Saturday</v>
      </c>
      <c r="AN184" t="s">
        <v>62</v>
      </c>
      <c r="AO184" s="31"/>
      <c r="AP184" s="31"/>
      <c r="AQ184" t="s">
        <v>63</v>
      </c>
      <c r="AR184" s="11">
        <f t="shared" si="26"/>
        <v>1.009131193769303</v>
      </c>
    </row>
    <row r="185" spans="1:44" x14ac:dyDescent="0.3">
      <c r="A185" s="8" t="s">
        <v>1029</v>
      </c>
      <c r="B185" s="30"/>
      <c r="C185" s="23">
        <v>1</v>
      </c>
      <c r="D185" s="19">
        <v>1664</v>
      </c>
      <c r="E185" s="8" t="s">
        <v>42</v>
      </c>
      <c r="F185" t="s">
        <v>946</v>
      </c>
      <c r="G185">
        <v>4</v>
      </c>
      <c r="H185" s="13" t="s">
        <v>47</v>
      </c>
      <c r="I185" s="17">
        <v>46011</v>
      </c>
      <c r="J185" s="2" t="s">
        <v>48</v>
      </c>
      <c r="K185" s="19">
        <f t="shared" ca="1" si="30"/>
        <v>18</v>
      </c>
      <c r="L185" t="s">
        <v>1043</v>
      </c>
      <c r="M185" t="s">
        <v>1038</v>
      </c>
      <c r="N185" t="s">
        <v>58</v>
      </c>
      <c r="O185" s="11">
        <v>1</v>
      </c>
      <c r="P185" t="s">
        <v>63</v>
      </c>
      <c r="Q185" t="s">
        <v>1044</v>
      </c>
      <c r="R185" s="11">
        <v>9</v>
      </c>
      <c r="S185" s="2" t="s">
        <v>75</v>
      </c>
      <c r="T185" t="s">
        <v>63</v>
      </c>
      <c r="U185" t="s">
        <v>276</v>
      </c>
      <c r="V185" t="s">
        <v>141</v>
      </c>
      <c r="W185" t="s">
        <v>76</v>
      </c>
      <c r="X185" t="s">
        <v>1045</v>
      </c>
      <c r="Y185" t="s">
        <v>62</v>
      </c>
      <c r="Z185" s="11">
        <v>17</v>
      </c>
      <c r="AA185" s="11">
        <v>9</v>
      </c>
      <c r="AB185" s="11">
        <v>0</v>
      </c>
      <c r="AC185" s="11">
        <f t="shared" si="29"/>
        <v>26</v>
      </c>
      <c r="AD185" s="20">
        <f t="shared" si="20"/>
        <v>1.5625E-2</v>
      </c>
      <c r="AE185" s="11">
        <f t="shared" si="21"/>
        <v>15.625</v>
      </c>
      <c r="AF185" s="11">
        <f t="shared" si="22"/>
        <v>0.54086538461538458</v>
      </c>
      <c r="AG185" s="11">
        <f t="shared" si="27"/>
        <v>0</v>
      </c>
      <c r="AH185" s="11">
        <f t="shared" si="28"/>
        <v>0.52941176470588236</v>
      </c>
      <c r="AI185" t="s">
        <v>62</v>
      </c>
      <c r="AJ185" t="s">
        <v>62</v>
      </c>
      <c r="AK185" t="s">
        <v>1046</v>
      </c>
      <c r="AL185" t="s">
        <v>1047</v>
      </c>
      <c r="AM185" t="str">
        <f>TEXT(I185,"dddd")</f>
        <v>Saturday</v>
      </c>
      <c r="AN185" t="s">
        <v>62</v>
      </c>
      <c r="AO185" s="31"/>
      <c r="AP185" s="31"/>
      <c r="AQ185" t="s">
        <v>63</v>
      </c>
      <c r="AR185" s="11">
        <f t="shared" si="26"/>
        <v>1.0139653551765813</v>
      </c>
    </row>
    <row r="186" spans="1:44" x14ac:dyDescent="0.3">
      <c r="A186" s="27" t="s">
        <v>1048</v>
      </c>
      <c r="B186" s="30" t="s">
        <v>1070</v>
      </c>
      <c r="C186" s="22">
        <v>1</v>
      </c>
      <c r="D186" s="19">
        <v>973</v>
      </c>
      <c r="E186" s="8" t="s">
        <v>42</v>
      </c>
      <c r="F186" t="s">
        <v>365</v>
      </c>
      <c r="G186">
        <v>1</v>
      </c>
      <c r="H186" s="13" t="s">
        <v>47</v>
      </c>
      <c r="I186" s="17">
        <v>46025</v>
      </c>
      <c r="J186" s="2" t="s">
        <v>89</v>
      </c>
      <c r="K186" s="19">
        <f t="shared" ca="1" si="30"/>
        <v>4</v>
      </c>
      <c r="L186" t="s">
        <v>1093</v>
      </c>
      <c r="M186" t="s">
        <v>192</v>
      </c>
      <c r="N186" t="s">
        <v>58</v>
      </c>
      <c r="O186" s="11">
        <v>1</v>
      </c>
      <c r="P186" t="s">
        <v>62</v>
      </c>
      <c r="Q186" t="s">
        <v>1094</v>
      </c>
      <c r="R186" s="11">
        <v>9</v>
      </c>
      <c r="S186" s="2" t="s">
        <v>99</v>
      </c>
      <c r="T186" t="s">
        <v>63</v>
      </c>
      <c r="U186" t="s">
        <v>416</v>
      </c>
      <c r="V186" t="s">
        <v>141</v>
      </c>
      <c r="W186" t="s">
        <v>76</v>
      </c>
      <c r="X186" t="s">
        <v>430</v>
      </c>
      <c r="Y186" t="s">
        <v>63</v>
      </c>
      <c r="Z186" s="11">
        <v>1</v>
      </c>
      <c r="AA186" s="11">
        <v>0</v>
      </c>
      <c r="AB186" s="11">
        <v>0</v>
      </c>
      <c r="AC186" s="11">
        <f t="shared" si="29"/>
        <v>1</v>
      </c>
      <c r="AD186" s="11">
        <f t="shared" si="20"/>
        <v>1.0277492291880781E-3</v>
      </c>
      <c r="AE186" s="11">
        <f t="shared" si="21"/>
        <v>1.0277492291880781</v>
      </c>
      <c r="AF186" s="11">
        <f t="shared" si="22"/>
        <v>0</v>
      </c>
      <c r="AG186" s="11">
        <f t="shared" si="27"/>
        <v>0</v>
      </c>
      <c r="AH186" s="11">
        <f t="shared" si="28"/>
        <v>0</v>
      </c>
      <c r="AI186" t="s">
        <v>62</v>
      </c>
      <c r="AJ186" t="s">
        <v>62</v>
      </c>
      <c r="AK186" t="s">
        <v>1095</v>
      </c>
      <c r="AL186" t="s">
        <v>1096</v>
      </c>
      <c r="AM186" t="str">
        <f t="shared" si="31"/>
        <v>Saturday</v>
      </c>
      <c r="AN186" t="s">
        <v>63</v>
      </c>
      <c r="AO186" s="31" t="s">
        <v>1093</v>
      </c>
      <c r="AP186" s="31" t="s">
        <v>52</v>
      </c>
      <c r="AQ186" t="s">
        <v>62</v>
      </c>
      <c r="AR186" s="11">
        <f t="shared" si="26"/>
        <v>1.0005371290452532</v>
      </c>
    </row>
    <row r="187" spans="1:44" x14ac:dyDescent="0.3">
      <c r="A187" s="27" t="s">
        <v>1048</v>
      </c>
      <c r="B187" s="30"/>
      <c r="C187" s="22">
        <v>1</v>
      </c>
      <c r="D187" s="19">
        <v>973</v>
      </c>
      <c r="E187" s="8" t="s">
        <v>42</v>
      </c>
      <c r="F187" t="s">
        <v>1031</v>
      </c>
      <c r="G187">
        <v>2</v>
      </c>
      <c r="H187" s="13" t="s">
        <v>47</v>
      </c>
      <c r="I187" s="17">
        <v>46024</v>
      </c>
      <c r="J187" s="2" t="s">
        <v>89</v>
      </c>
      <c r="K187" s="19">
        <f t="shared" ca="1" si="30"/>
        <v>5</v>
      </c>
      <c r="L187" t="s">
        <v>52</v>
      </c>
      <c r="M187" t="s">
        <v>401</v>
      </c>
      <c r="N187" t="s">
        <v>58</v>
      </c>
      <c r="O187" s="11">
        <v>1</v>
      </c>
      <c r="P187" t="s">
        <v>63</v>
      </c>
      <c r="Q187" t="s">
        <v>1097</v>
      </c>
      <c r="R187" s="11">
        <v>6</v>
      </c>
      <c r="S187" s="2" t="s">
        <v>61</v>
      </c>
      <c r="T187" t="s">
        <v>63</v>
      </c>
      <c r="U187" t="s">
        <v>1098</v>
      </c>
      <c r="V187" t="s">
        <v>141</v>
      </c>
      <c r="W187" t="s">
        <v>69</v>
      </c>
      <c r="X187" t="s">
        <v>446</v>
      </c>
      <c r="Y187" t="s">
        <v>63</v>
      </c>
      <c r="Z187" s="11">
        <v>2</v>
      </c>
      <c r="AA187" s="11">
        <v>0</v>
      </c>
      <c r="AB187" s="11">
        <v>0</v>
      </c>
      <c r="AC187" s="11">
        <f t="shared" si="29"/>
        <v>2</v>
      </c>
      <c r="AD187" s="11">
        <f t="shared" si="20"/>
        <v>2.0554984583761563E-3</v>
      </c>
      <c r="AE187" s="11">
        <f t="shared" si="21"/>
        <v>2.0554984583761562</v>
      </c>
      <c r="AF187" s="11">
        <f t="shared" si="22"/>
        <v>0</v>
      </c>
      <c r="AG187" s="11">
        <f t="shared" si="27"/>
        <v>0</v>
      </c>
      <c r="AH187" s="11">
        <f t="shared" si="28"/>
        <v>0</v>
      </c>
      <c r="AI187" t="s">
        <v>63</v>
      </c>
      <c r="AJ187" t="s">
        <v>63</v>
      </c>
      <c r="AK187" t="s">
        <v>1099</v>
      </c>
      <c r="AL187" t="s">
        <v>1100</v>
      </c>
      <c r="AM187" t="str">
        <f t="shared" si="31"/>
        <v>Friday</v>
      </c>
      <c r="AN187" t="s">
        <v>63</v>
      </c>
      <c r="AO187" s="31"/>
      <c r="AP187" s="31"/>
      <c r="AQ187" t="s">
        <v>62</v>
      </c>
      <c r="AR187" s="11">
        <f t="shared" si="26"/>
        <v>1.0010742580905063</v>
      </c>
    </row>
    <row r="188" spans="1:44" x14ac:dyDescent="0.3">
      <c r="A188" s="27" t="s">
        <v>1048</v>
      </c>
      <c r="B188" s="30"/>
      <c r="C188" s="22">
        <v>1</v>
      </c>
      <c r="D188" s="19">
        <v>973</v>
      </c>
      <c r="E188" s="8" t="s">
        <v>42</v>
      </c>
      <c r="F188" t="s">
        <v>395</v>
      </c>
      <c r="G188">
        <v>3</v>
      </c>
      <c r="H188" s="13" t="s">
        <v>47</v>
      </c>
      <c r="I188" s="17">
        <v>46024</v>
      </c>
      <c r="J188" s="2" t="s">
        <v>89</v>
      </c>
      <c r="K188" s="19">
        <f t="shared" ca="1" si="30"/>
        <v>5</v>
      </c>
      <c r="L188" t="s">
        <v>184</v>
      </c>
      <c r="M188" t="s">
        <v>370</v>
      </c>
      <c r="N188" t="s">
        <v>58</v>
      </c>
      <c r="O188" s="11">
        <v>1</v>
      </c>
      <c r="P188" t="s">
        <v>62</v>
      </c>
      <c r="Q188" t="s">
        <v>1101</v>
      </c>
      <c r="R188" s="11">
        <v>7</v>
      </c>
      <c r="S188" s="2" t="s">
        <v>99</v>
      </c>
      <c r="T188" t="s">
        <v>63</v>
      </c>
      <c r="U188" t="s">
        <v>273</v>
      </c>
      <c r="V188" t="s">
        <v>141</v>
      </c>
      <c r="W188" t="s">
        <v>76</v>
      </c>
      <c r="X188" t="s">
        <v>430</v>
      </c>
      <c r="Y188" t="s">
        <v>63</v>
      </c>
      <c r="Z188" s="11">
        <v>1</v>
      </c>
      <c r="AA188" s="11">
        <v>0</v>
      </c>
      <c r="AB188" s="11">
        <v>0</v>
      </c>
      <c r="AC188" s="11">
        <f t="shared" si="29"/>
        <v>1</v>
      </c>
      <c r="AD188" s="11">
        <f t="shared" si="20"/>
        <v>1.0277492291880781E-3</v>
      </c>
      <c r="AE188" s="11">
        <f t="shared" si="21"/>
        <v>1.0277492291880781</v>
      </c>
      <c r="AF188" s="11">
        <f t="shared" si="22"/>
        <v>0</v>
      </c>
      <c r="AG188" s="11">
        <f t="shared" si="27"/>
        <v>0</v>
      </c>
      <c r="AH188" s="11">
        <f t="shared" si="28"/>
        <v>0</v>
      </c>
      <c r="AI188" t="s">
        <v>63</v>
      </c>
      <c r="AJ188" t="s">
        <v>63</v>
      </c>
      <c r="AK188" t="s">
        <v>1102</v>
      </c>
      <c r="AL188" t="s">
        <v>1103</v>
      </c>
      <c r="AM188" t="str">
        <f t="shared" si="31"/>
        <v>Friday</v>
      </c>
      <c r="AN188" t="s">
        <v>63</v>
      </c>
      <c r="AO188" s="31"/>
      <c r="AP188" s="31"/>
      <c r="AQ188" t="s">
        <v>62</v>
      </c>
      <c r="AR188" s="11">
        <f t="shared" si="26"/>
        <v>1.0005371290452532</v>
      </c>
    </row>
    <row r="189" spans="1:44" x14ac:dyDescent="0.3">
      <c r="A189" s="27" t="s">
        <v>1048</v>
      </c>
      <c r="B189" s="30"/>
      <c r="C189" s="22">
        <v>1</v>
      </c>
      <c r="D189" s="19">
        <v>973</v>
      </c>
      <c r="E189" s="8" t="s">
        <v>42</v>
      </c>
      <c r="F189" t="s">
        <v>1092</v>
      </c>
      <c r="G189">
        <v>4</v>
      </c>
      <c r="H189" s="13" t="s">
        <v>47</v>
      </c>
      <c r="I189" s="17">
        <v>46023</v>
      </c>
      <c r="J189" s="2" t="s">
        <v>89</v>
      </c>
      <c r="K189" s="19">
        <f ca="1">IF(ISNUMBER(I189), TODAY() - I189, "")</f>
        <v>6</v>
      </c>
      <c r="L189" t="s">
        <v>1104</v>
      </c>
      <c r="M189" t="s">
        <v>51</v>
      </c>
      <c r="N189" t="s">
        <v>58</v>
      </c>
      <c r="O189" s="11">
        <v>1</v>
      </c>
      <c r="P189" t="s">
        <v>62</v>
      </c>
      <c r="Q189" t="s">
        <v>1105</v>
      </c>
      <c r="R189" s="11">
        <v>8</v>
      </c>
      <c r="S189" s="2" t="s">
        <v>99</v>
      </c>
      <c r="T189" t="s">
        <v>62</v>
      </c>
      <c r="U189" t="s">
        <v>173</v>
      </c>
      <c r="V189" t="s">
        <v>173</v>
      </c>
      <c r="W189" t="s">
        <v>173</v>
      </c>
      <c r="X189" t="s">
        <v>173</v>
      </c>
      <c r="Y189" t="s">
        <v>62</v>
      </c>
      <c r="Z189" s="11">
        <v>2</v>
      </c>
      <c r="AA189" s="11">
        <v>0</v>
      </c>
      <c r="AB189" s="11">
        <v>0</v>
      </c>
      <c r="AC189" s="11">
        <f t="shared" si="29"/>
        <v>2</v>
      </c>
      <c r="AD189" s="11">
        <f t="shared" si="20"/>
        <v>2.0554984583761563E-3</v>
      </c>
      <c r="AE189" s="11">
        <f t="shared" si="21"/>
        <v>2.0554984583761562</v>
      </c>
      <c r="AF189" s="11">
        <f t="shared" si="22"/>
        <v>0</v>
      </c>
      <c r="AG189" s="11">
        <f t="shared" si="27"/>
        <v>0</v>
      </c>
      <c r="AH189" s="11">
        <f t="shared" si="28"/>
        <v>0</v>
      </c>
      <c r="AI189" t="s">
        <v>62</v>
      </c>
      <c r="AJ189" t="s">
        <v>63</v>
      </c>
      <c r="AK189" t="s">
        <v>1106</v>
      </c>
      <c r="AL189" t="s">
        <v>1107</v>
      </c>
      <c r="AM189" t="str">
        <f>TEXT(I189,"dddd")</f>
        <v>Thursday</v>
      </c>
      <c r="AN189" t="s">
        <v>63</v>
      </c>
      <c r="AO189" s="31"/>
      <c r="AP189" s="31"/>
      <c r="AQ189" t="s">
        <v>62</v>
      </c>
      <c r="AR189" s="11">
        <f t="shared" si="26"/>
        <v>1.0010742580905063</v>
      </c>
    </row>
    <row r="190" spans="1:44" x14ac:dyDescent="0.3">
      <c r="A190" s="27" t="s">
        <v>1049</v>
      </c>
      <c r="B190" s="30" t="s">
        <v>1071</v>
      </c>
      <c r="C190" s="22">
        <v>1</v>
      </c>
      <c r="D190" s="19">
        <v>1791</v>
      </c>
      <c r="E190" s="8" t="s">
        <v>42</v>
      </c>
      <c r="F190" t="s">
        <v>1092</v>
      </c>
      <c r="G190">
        <v>1</v>
      </c>
      <c r="H190" s="13" t="s">
        <v>47</v>
      </c>
      <c r="I190" s="17">
        <v>46025</v>
      </c>
      <c r="J190" s="2" t="s">
        <v>89</v>
      </c>
      <c r="K190" s="19">
        <f t="shared" ref="K190:K194" ca="1" si="32">IF(ISNUMBER(I190), TODAY() - I190, "")</f>
        <v>4</v>
      </c>
      <c r="L190" t="s">
        <v>1110</v>
      </c>
      <c r="M190" t="s">
        <v>1111</v>
      </c>
      <c r="N190" t="s">
        <v>58</v>
      </c>
      <c r="O190" s="11">
        <v>1</v>
      </c>
      <c r="P190" t="s">
        <v>63</v>
      </c>
      <c r="Q190" t="s">
        <v>1112</v>
      </c>
      <c r="R190" s="11">
        <v>5</v>
      </c>
      <c r="S190" s="2" t="s">
        <v>75</v>
      </c>
      <c r="T190" t="s">
        <v>62</v>
      </c>
      <c r="U190" t="s">
        <v>173</v>
      </c>
      <c r="V190" t="s">
        <v>173</v>
      </c>
      <c r="W190" t="s">
        <v>173</v>
      </c>
      <c r="X190" t="s">
        <v>173</v>
      </c>
      <c r="Y190" t="s">
        <v>63</v>
      </c>
      <c r="Z190" s="11">
        <v>1</v>
      </c>
      <c r="AA190" s="11">
        <v>0</v>
      </c>
      <c r="AB190" s="11">
        <v>0</v>
      </c>
      <c r="AC190" s="11">
        <f t="shared" si="29"/>
        <v>1</v>
      </c>
      <c r="AD190" s="11">
        <f t="shared" si="20"/>
        <v>5.5834729201563373E-4</v>
      </c>
      <c r="AE190" s="11">
        <f t="shared" si="21"/>
        <v>0.55834729201563371</v>
      </c>
      <c r="AF190" s="11">
        <f t="shared" si="22"/>
        <v>0</v>
      </c>
      <c r="AG190" s="11">
        <f t="shared" si="27"/>
        <v>0</v>
      </c>
      <c r="AH190" s="11">
        <f t="shared" si="28"/>
        <v>0</v>
      </c>
      <c r="AI190" t="s">
        <v>62</v>
      </c>
      <c r="AJ190" t="s">
        <v>62</v>
      </c>
      <c r="AK190" t="s">
        <v>1113</v>
      </c>
      <c r="AL190" t="s">
        <v>1114</v>
      </c>
      <c r="AM190" t="str">
        <f t="shared" ref="AM190:AM195" si="33">TEXT(I190,"dddd")</f>
        <v>Saturday</v>
      </c>
      <c r="AN190" t="s">
        <v>63</v>
      </c>
      <c r="AO190" s="31" t="s">
        <v>1119</v>
      </c>
      <c r="AP190" s="31" t="s">
        <v>1110</v>
      </c>
      <c r="AQ190" t="s">
        <v>62</v>
      </c>
      <c r="AR190" s="11">
        <f t="shared" si="26"/>
        <v>1.0005371290452532</v>
      </c>
    </row>
    <row r="191" spans="1:44" x14ac:dyDescent="0.3">
      <c r="A191" s="27" t="s">
        <v>1049</v>
      </c>
      <c r="B191" s="30"/>
      <c r="C191" s="22">
        <v>1</v>
      </c>
      <c r="D191" s="19">
        <v>1791</v>
      </c>
      <c r="E191" s="8" t="s">
        <v>42</v>
      </c>
      <c r="F191" t="s">
        <v>1031</v>
      </c>
      <c r="G191">
        <v>2</v>
      </c>
      <c r="H191" s="13" t="s">
        <v>47</v>
      </c>
      <c r="I191" s="17">
        <v>46024</v>
      </c>
      <c r="J191" s="2" t="s">
        <v>89</v>
      </c>
      <c r="K191" s="19">
        <f t="shared" ca="1" si="32"/>
        <v>5</v>
      </c>
      <c r="L191" t="s">
        <v>1115</v>
      </c>
      <c r="M191" t="s">
        <v>164</v>
      </c>
      <c r="N191" t="s">
        <v>58</v>
      </c>
      <c r="O191" s="11">
        <v>1</v>
      </c>
      <c r="P191" t="s">
        <v>62</v>
      </c>
      <c r="Q191" t="s">
        <v>1116</v>
      </c>
      <c r="R191" s="11">
        <v>3</v>
      </c>
      <c r="S191" s="2" t="s">
        <v>99</v>
      </c>
      <c r="T191" t="s">
        <v>62</v>
      </c>
      <c r="U191" t="s">
        <v>173</v>
      </c>
      <c r="V191" t="s">
        <v>173</v>
      </c>
      <c r="W191" t="s">
        <v>173</v>
      </c>
      <c r="X191" t="s">
        <v>173</v>
      </c>
      <c r="Y191" t="s">
        <v>62</v>
      </c>
      <c r="Z191" s="11">
        <v>1</v>
      </c>
      <c r="AA191" s="11">
        <v>0</v>
      </c>
      <c r="AB191" s="11">
        <v>0</v>
      </c>
      <c r="AC191" s="11">
        <f t="shared" si="29"/>
        <v>1</v>
      </c>
      <c r="AD191" s="11">
        <f t="shared" si="20"/>
        <v>5.5834729201563373E-4</v>
      </c>
      <c r="AE191" s="11">
        <f t="shared" si="21"/>
        <v>0.55834729201563371</v>
      </c>
      <c r="AF191" s="11">
        <f t="shared" si="22"/>
        <v>0</v>
      </c>
      <c r="AG191" s="11">
        <f t="shared" si="27"/>
        <v>0</v>
      </c>
      <c r="AH191" s="11">
        <f t="shared" si="28"/>
        <v>0</v>
      </c>
      <c r="AI191" t="s">
        <v>62</v>
      </c>
      <c r="AJ191" t="s">
        <v>62</v>
      </c>
      <c r="AK191" t="s">
        <v>1117</v>
      </c>
      <c r="AL191" t="s">
        <v>1118</v>
      </c>
      <c r="AM191" t="str">
        <f t="shared" si="33"/>
        <v>Friday</v>
      </c>
      <c r="AN191" t="s">
        <v>63</v>
      </c>
      <c r="AO191" s="31"/>
      <c r="AP191" s="31"/>
      <c r="AQ191" t="s">
        <v>62</v>
      </c>
      <c r="AR191" s="11">
        <f t="shared" si="26"/>
        <v>1.0005371290452532</v>
      </c>
    </row>
    <row r="192" spans="1:44" x14ac:dyDescent="0.3">
      <c r="A192" s="27" t="s">
        <v>1049</v>
      </c>
      <c r="B192" s="30"/>
      <c r="C192" s="22">
        <v>1</v>
      </c>
      <c r="D192" s="19">
        <v>1791</v>
      </c>
      <c r="E192" s="8" t="s">
        <v>42</v>
      </c>
      <c r="F192" t="s">
        <v>1108</v>
      </c>
      <c r="G192">
        <v>3</v>
      </c>
      <c r="H192" s="13" t="s">
        <v>47</v>
      </c>
      <c r="I192" s="17">
        <v>46024</v>
      </c>
      <c r="J192" s="2" t="s">
        <v>89</v>
      </c>
      <c r="K192" s="19">
        <f t="shared" ca="1" si="32"/>
        <v>5</v>
      </c>
      <c r="L192" t="s">
        <v>1119</v>
      </c>
      <c r="M192" t="s">
        <v>166</v>
      </c>
      <c r="N192" t="s">
        <v>58</v>
      </c>
      <c r="O192" s="11">
        <v>1</v>
      </c>
      <c r="P192" t="s">
        <v>63</v>
      </c>
      <c r="Q192" t="s">
        <v>1120</v>
      </c>
      <c r="R192" s="11">
        <v>6</v>
      </c>
      <c r="S192" s="2" t="s">
        <v>75</v>
      </c>
      <c r="T192" t="s">
        <v>62</v>
      </c>
      <c r="U192" t="s">
        <v>173</v>
      </c>
      <c r="V192" t="s">
        <v>173</v>
      </c>
      <c r="W192" t="s">
        <v>173</v>
      </c>
      <c r="X192" t="s">
        <v>173</v>
      </c>
      <c r="Y192" t="s">
        <v>62</v>
      </c>
      <c r="Z192" s="11">
        <v>16</v>
      </c>
      <c r="AA192" s="11">
        <v>1</v>
      </c>
      <c r="AB192" s="11">
        <v>0</v>
      </c>
      <c r="AC192" s="11">
        <f t="shared" si="29"/>
        <v>17</v>
      </c>
      <c r="AD192" s="11">
        <f t="shared" si="20"/>
        <v>9.4919039642657726E-3</v>
      </c>
      <c r="AE192" s="11">
        <f t="shared" si="21"/>
        <v>9.4919039642657719</v>
      </c>
      <c r="AF192" s="11">
        <f t="shared" si="22"/>
        <v>5.5834729201563377E-2</v>
      </c>
      <c r="AG192" s="11">
        <f t="shared" si="27"/>
        <v>0</v>
      </c>
      <c r="AH192" s="11">
        <f t="shared" si="28"/>
        <v>6.25E-2</v>
      </c>
      <c r="AI192" t="s">
        <v>63</v>
      </c>
      <c r="AJ192" t="s">
        <v>62</v>
      </c>
      <c r="AK192" t="s">
        <v>1121</v>
      </c>
      <c r="AL192" t="s">
        <v>1122</v>
      </c>
      <c r="AM192" t="str">
        <f t="shared" si="33"/>
        <v>Friday</v>
      </c>
      <c r="AN192" t="s">
        <v>63</v>
      </c>
      <c r="AO192" s="31"/>
      <c r="AP192" s="31"/>
      <c r="AQ192" t="s">
        <v>62</v>
      </c>
      <c r="AR192" s="11">
        <f t="shared" si="26"/>
        <v>1.009131193769303</v>
      </c>
    </row>
    <row r="193" spans="1:44" x14ac:dyDescent="0.3">
      <c r="A193" s="27" t="s">
        <v>1049</v>
      </c>
      <c r="B193" s="30"/>
      <c r="C193" s="22">
        <v>1</v>
      </c>
      <c r="D193" s="19">
        <v>1791</v>
      </c>
      <c r="E193" s="8" t="s">
        <v>42</v>
      </c>
      <c r="F193" t="s">
        <v>1109</v>
      </c>
      <c r="G193">
        <v>4</v>
      </c>
      <c r="H193" s="13" t="s">
        <v>47</v>
      </c>
      <c r="I193" s="17">
        <v>46024</v>
      </c>
      <c r="J193" s="2" t="s">
        <v>89</v>
      </c>
      <c r="K193" s="19">
        <f ca="1">IF(ISNUMBER(I193), TODAY() - I193, "")</f>
        <v>5</v>
      </c>
      <c r="L193" t="s">
        <v>986</v>
      </c>
      <c r="M193" t="s">
        <v>51</v>
      </c>
      <c r="N193" t="s">
        <v>58</v>
      </c>
      <c r="O193" s="11">
        <v>1</v>
      </c>
      <c r="P193" t="s">
        <v>62</v>
      </c>
      <c r="Q193" t="s">
        <v>1105</v>
      </c>
      <c r="R193" s="11">
        <v>2</v>
      </c>
      <c r="S193" s="2" t="s">
        <v>99</v>
      </c>
      <c r="T193" t="s">
        <v>62</v>
      </c>
      <c r="U193" t="s">
        <v>173</v>
      </c>
      <c r="V193" t="s">
        <v>173</v>
      </c>
      <c r="W193" t="s">
        <v>173</v>
      </c>
      <c r="X193" t="s">
        <v>173</v>
      </c>
      <c r="Y193" t="s">
        <v>62</v>
      </c>
      <c r="Z193" s="11">
        <v>5</v>
      </c>
      <c r="AA193" s="11">
        <v>0</v>
      </c>
      <c r="AB193" s="11">
        <v>0</v>
      </c>
      <c r="AC193" s="11">
        <f t="shared" si="29"/>
        <v>5</v>
      </c>
      <c r="AD193" s="11">
        <f t="shared" si="20"/>
        <v>2.7917364600781687E-3</v>
      </c>
      <c r="AE193" s="11">
        <f t="shared" si="21"/>
        <v>2.7917364600781687</v>
      </c>
      <c r="AF193" s="11">
        <f t="shared" si="22"/>
        <v>0</v>
      </c>
      <c r="AG193" s="11">
        <f t="shared" si="27"/>
        <v>0</v>
      </c>
      <c r="AH193" s="11">
        <f t="shared" si="28"/>
        <v>0</v>
      </c>
      <c r="AI193" t="s">
        <v>62</v>
      </c>
      <c r="AJ193" t="s">
        <v>62</v>
      </c>
      <c r="AK193" t="s">
        <v>1123</v>
      </c>
      <c r="AL193" t="s">
        <v>1124</v>
      </c>
      <c r="AM193" t="str">
        <f t="shared" si="33"/>
        <v>Friday</v>
      </c>
      <c r="AN193" t="s">
        <v>63</v>
      </c>
      <c r="AO193" s="31"/>
      <c r="AP193" s="31"/>
      <c r="AQ193" t="s">
        <v>62</v>
      </c>
      <c r="AR193" s="11">
        <f t="shared" si="26"/>
        <v>1.0026856452262656</v>
      </c>
    </row>
    <row r="194" spans="1:44" x14ac:dyDescent="0.3">
      <c r="A194" s="27" t="s">
        <v>1050</v>
      </c>
      <c r="B194" s="30" t="s">
        <v>1072</v>
      </c>
      <c r="C194" s="22">
        <v>50</v>
      </c>
      <c r="D194" s="19">
        <v>15393</v>
      </c>
      <c r="E194" s="8" t="s">
        <v>42</v>
      </c>
      <c r="F194" t="s">
        <v>1125</v>
      </c>
      <c r="G194">
        <v>1</v>
      </c>
      <c r="H194" s="13" t="s">
        <v>47</v>
      </c>
      <c r="I194" s="17">
        <v>46024</v>
      </c>
      <c r="J194" s="2" t="s">
        <v>48</v>
      </c>
      <c r="K194" s="19">
        <f t="shared" ref="K194:K257" ca="1" si="34">IF(ISNUMBER(I194), TODAY() - I194, "")</f>
        <v>5</v>
      </c>
      <c r="L194" t="s">
        <v>1128</v>
      </c>
      <c r="M194" t="s">
        <v>286</v>
      </c>
      <c r="N194" t="s">
        <v>58</v>
      </c>
      <c r="O194" s="11">
        <v>1</v>
      </c>
      <c r="P194" t="s">
        <v>62</v>
      </c>
      <c r="Q194" t="s">
        <v>1129</v>
      </c>
      <c r="R194" s="11">
        <v>7</v>
      </c>
      <c r="S194" s="2" t="s">
        <v>75</v>
      </c>
      <c r="T194" t="s">
        <v>63</v>
      </c>
      <c r="U194" t="s">
        <v>1130</v>
      </c>
      <c r="V194" t="s">
        <v>141</v>
      </c>
      <c r="W194" t="s">
        <v>76</v>
      </c>
      <c r="X194" t="s">
        <v>1131</v>
      </c>
      <c r="Y194" t="s">
        <v>63</v>
      </c>
      <c r="Z194" s="11">
        <v>53</v>
      </c>
      <c r="AA194" s="11">
        <v>13</v>
      </c>
      <c r="AB194" s="11">
        <v>1</v>
      </c>
      <c r="AC194" s="11">
        <f t="shared" si="29"/>
        <v>67</v>
      </c>
      <c r="AD194" s="11">
        <f t="shared" si="20"/>
        <v>4.3526278178392776E-3</v>
      </c>
      <c r="AE194" s="11">
        <f t="shared" si="21"/>
        <v>4.3526278178392772</v>
      </c>
      <c r="AF194" s="11">
        <f t="shared" si="22"/>
        <v>8.4453972584941209E-2</v>
      </c>
      <c r="AG194" s="11">
        <f t="shared" si="27"/>
        <v>6.4964594296108621E-3</v>
      </c>
      <c r="AH194" s="11">
        <f t="shared" si="28"/>
        <v>0.24528301886792453</v>
      </c>
      <c r="AI194" t="s">
        <v>62</v>
      </c>
      <c r="AJ194" t="s">
        <v>63</v>
      </c>
      <c r="AK194" t="s">
        <v>1132</v>
      </c>
      <c r="AL194" t="s">
        <v>1133</v>
      </c>
      <c r="AM194" t="str">
        <f t="shared" si="33"/>
        <v>Friday</v>
      </c>
      <c r="AN194" t="s">
        <v>62</v>
      </c>
      <c r="AO194" s="31" t="s">
        <v>55</v>
      </c>
      <c r="AP194" s="31" t="s">
        <v>1145</v>
      </c>
      <c r="AQ194" t="s">
        <v>62</v>
      </c>
      <c r="AR194" s="11">
        <f t="shared" si="26"/>
        <v>1.0359876460319593</v>
      </c>
    </row>
    <row r="195" spans="1:44" x14ac:dyDescent="0.3">
      <c r="A195" s="27" t="s">
        <v>1050</v>
      </c>
      <c r="B195" s="30"/>
      <c r="C195" s="22">
        <v>50</v>
      </c>
      <c r="D195" s="19">
        <v>15393</v>
      </c>
      <c r="E195" s="8" t="s">
        <v>42</v>
      </c>
      <c r="F195" t="s">
        <v>1126</v>
      </c>
      <c r="G195">
        <v>2</v>
      </c>
      <c r="H195" s="13" t="s">
        <v>47</v>
      </c>
      <c r="I195" s="17">
        <v>46024</v>
      </c>
      <c r="J195" s="2" t="s">
        <v>48</v>
      </c>
      <c r="K195" s="19">
        <f t="shared" ca="1" si="34"/>
        <v>5</v>
      </c>
      <c r="L195" t="s">
        <v>960</v>
      </c>
      <c r="M195" t="s">
        <v>166</v>
      </c>
      <c r="N195" t="s">
        <v>58</v>
      </c>
      <c r="O195" s="11">
        <v>1</v>
      </c>
      <c r="P195" t="s">
        <v>63</v>
      </c>
      <c r="Q195" t="s">
        <v>1134</v>
      </c>
      <c r="R195" s="11">
        <v>6</v>
      </c>
      <c r="S195" s="2" t="s">
        <v>75</v>
      </c>
      <c r="T195" t="s">
        <v>63</v>
      </c>
      <c r="U195" t="s">
        <v>1135</v>
      </c>
      <c r="V195" t="s">
        <v>141</v>
      </c>
      <c r="W195" t="s">
        <v>76</v>
      </c>
      <c r="X195" t="s">
        <v>1131</v>
      </c>
      <c r="Y195" t="s">
        <v>63</v>
      </c>
      <c r="Z195" s="11">
        <v>46</v>
      </c>
      <c r="AA195" s="11">
        <v>4</v>
      </c>
      <c r="AB195" s="11">
        <v>0</v>
      </c>
      <c r="AC195" s="11">
        <f t="shared" si="29"/>
        <v>50</v>
      </c>
      <c r="AD195" s="11">
        <f t="shared" si="20"/>
        <v>3.248229714805431E-3</v>
      </c>
      <c r="AE195" s="11">
        <f t="shared" si="21"/>
        <v>3.2482297148054311</v>
      </c>
      <c r="AF195" s="11">
        <f t="shared" si="22"/>
        <v>2.5985837718443448E-2</v>
      </c>
      <c r="AG195" s="11">
        <f t="shared" si="27"/>
        <v>0</v>
      </c>
      <c r="AH195" s="11">
        <f t="shared" si="28"/>
        <v>8.6956521739130432E-2</v>
      </c>
      <c r="AI195" t="s">
        <v>63</v>
      </c>
      <c r="AJ195" t="s">
        <v>63</v>
      </c>
      <c r="AK195" t="s">
        <v>1136</v>
      </c>
      <c r="AL195" t="s">
        <v>1137</v>
      </c>
      <c r="AM195" t="str">
        <f t="shared" si="33"/>
        <v>Friday</v>
      </c>
      <c r="AN195" t="s">
        <v>62</v>
      </c>
      <c r="AO195" s="31"/>
      <c r="AP195" s="31"/>
      <c r="AQ195" t="s">
        <v>62</v>
      </c>
      <c r="AR195" s="11">
        <f t="shared" si="26"/>
        <v>1.0268564522626562</v>
      </c>
    </row>
    <row r="196" spans="1:44" x14ac:dyDescent="0.3">
      <c r="A196" s="27" t="s">
        <v>1050</v>
      </c>
      <c r="B196" s="30"/>
      <c r="C196" s="22">
        <v>50</v>
      </c>
      <c r="D196" s="19">
        <v>15393</v>
      </c>
      <c r="E196" s="8" t="s">
        <v>42</v>
      </c>
      <c r="F196" t="s">
        <v>1127</v>
      </c>
      <c r="G196">
        <v>3</v>
      </c>
      <c r="H196" s="13" t="s">
        <v>47</v>
      </c>
      <c r="I196" s="17">
        <v>46020</v>
      </c>
      <c r="J196" s="2" t="s">
        <v>48</v>
      </c>
      <c r="K196" s="19">
        <f t="shared" ca="1" si="34"/>
        <v>9</v>
      </c>
      <c r="L196" t="s">
        <v>1128</v>
      </c>
      <c r="M196" t="s">
        <v>286</v>
      </c>
      <c r="N196" t="s">
        <v>58</v>
      </c>
      <c r="O196" s="11">
        <v>1</v>
      </c>
      <c r="P196" t="s">
        <v>62</v>
      </c>
      <c r="Q196" t="s">
        <v>1138</v>
      </c>
      <c r="R196" s="11">
        <v>8</v>
      </c>
      <c r="S196" s="2" t="s">
        <v>61</v>
      </c>
      <c r="T196" t="s">
        <v>63</v>
      </c>
      <c r="U196" t="s">
        <v>1139</v>
      </c>
      <c r="V196" t="s">
        <v>141</v>
      </c>
      <c r="W196" t="s">
        <v>76</v>
      </c>
      <c r="X196" t="s">
        <v>1131</v>
      </c>
      <c r="Y196" t="s">
        <v>63</v>
      </c>
      <c r="Z196" s="11">
        <v>25</v>
      </c>
      <c r="AA196" s="11">
        <v>8</v>
      </c>
      <c r="AB196" s="11">
        <v>0</v>
      </c>
      <c r="AC196" s="11">
        <f t="shared" si="29"/>
        <v>33</v>
      </c>
      <c r="AD196" s="11">
        <f t="shared" si="20"/>
        <v>2.1438316117715845E-3</v>
      </c>
      <c r="AE196" s="11">
        <f t="shared" si="21"/>
        <v>2.1438316117715845</v>
      </c>
      <c r="AF196" s="11">
        <f t="shared" si="22"/>
        <v>5.1971675436886897E-2</v>
      </c>
      <c r="AG196" s="11">
        <f t="shared" si="27"/>
        <v>0</v>
      </c>
      <c r="AH196" s="11">
        <f t="shared" si="28"/>
        <v>0.32</v>
      </c>
      <c r="AI196" t="s">
        <v>63</v>
      </c>
      <c r="AJ196" t="s">
        <v>62</v>
      </c>
      <c r="AK196" t="s">
        <v>1140</v>
      </c>
      <c r="AL196" t="s">
        <v>1141</v>
      </c>
      <c r="AM196" t="str">
        <f t="shared" ref="AM196:AM201" si="35">TEXT(I196,"dddd")</f>
        <v>Monday</v>
      </c>
      <c r="AN196" t="s">
        <v>62</v>
      </c>
      <c r="AO196" s="31"/>
      <c r="AP196" s="31"/>
      <c r="AQ196" t="s">
        <v>62</v>
      </c>
      <c r="AR196" s="11">
        <f t="shared" si="26"/>
        <v>1.0177252584933529</v>
      </c>
    </row>
    <row r="197" spans="1:44" x14ac:dyDescent="0.3">
      <c r="A197" s="27" t="s">
        <v>1050</v>
      </c>
      <c r="B197" s="30"/>
      <c r="C197" s="22">
        <v>50</v>
      </c>
      <c r="D197" s="19">
        <v>15393</v>
      </c>
      <c r="E197" s="8" t="s">
        <v>42</v>
      </c>
      <c r="F197" t="s">
        <v>679</v>
      </c>
      <c r="G197">
        <v>4</v>
      </c>
      <c r="H197" s="13" t="s">
        <v>47</v>
      </c>
      <c r="I197" s="17">
        <v>46020</v>
      </c>
      <c r="J197" s="2" t="s">
        <v>48</v>
      </c>
      <c r="K197" s="19">
        <f t="shared" ca="1" si="34"/>
        <v>9</v>
      </c>
      <c r="L197" t="s">
        <v>1142</v>
      </c>
      <c r="M197" t="s">
        <v>166</v>
      </c>
      <c r="N197" t="s">
        <v>58</v>
      </c>
      <c r="O197" s="11">
        <v>1</v>
      </c>
      <c r="P197" t="s">
        <v>63</v>
      </c>
      <c r="Q197" t="s">
        <v>1143</v>
      </c>
      <c r="R197" s="11">
        <v>7</v>
      </c>
      <c r="S197" s="2" t="s">
        <v>99</v>
      </c>
      <c r="T197" t="s">
        <v>62</v>
      </c>
      <c r="U197" t="s">
        <v>173</v>
      </c>
      <c r="V197" t="s">
        <v>173</v>
      </c>
      <c r="W197" t="s">
        <v>173</v>
      </c>
      <c r="X197" t="s">
        <v>173</v>
      </c>
      <c r="Y197" t="s">
        <v>62</v>
      </c>
      <c r="Z197" s="11">
        <v>22</v>
      </c>
      <c r="AA197" s="11">
        <v>1</v>
      </c>
      <c r="AB197" s="11">
        <v>0</v>
      </c>
      <c r="AC197" s="11">
        <f t="shared" si="29"/>
        <v>23</v>
      </c>
      <c r="AD197" s="11">
        <f t="shared" si="20"/>
        <v>1.4941856688104982E-3</v>
      </c>
      <c r="AE197" s="11">
        <f t="shared" si="21"/>
        <v>1.4941856688104982</v>
      </c>
      <c r="AF197" s="11">
        <f t="shared" si="22"/>
        <v>6.4964594296108621E-3</v>
      </c>
      <c r="AG197" s="11">
        <f t="shared" si="27"/>
        <v>0</v>
      </c>
      <c r="AH197" s="11">
        <f t="shared" si="28"/>
        <v>4.5454545454545456E-2</v>
      </c>
      <c r="AI197" t="s">
        <v>63</v>
      </c>
      <c r="AJ197" t="s">
        <v>62</v>
      </c>
      <c r="AK197" t="s">
        <v>1106</v>
      </c>
      <c r="AL197" t="s">
        <v>1144</v>
      </c>
      <c r="AM197" t="str">
        <f t="shared" si="35"/>
        <v>Monday</v>
      </c>
      <c r="AN197" t="s">
        <v>62</v>
      </c>
      <c r="AO197" s="31"/>
      <c r="AP197" s="31"/>
      <c r="AQ197" t="s">
        <v>62</v>
      </c>
      <c r="AR197" s="11">
        <f t="shared" si="26"/>
        <v>1.0123539680408218</v>
      </c>
    </row>
    <row r="198" spans="1:44" x14ac:dyDescent="0.3">
      <c r="A198" s="27" t="s">
        <v>1051</v>
      </c>
      <c r="B198" s="30" t="s">
        <v>1073</v>
      </c>
      <c r="C198" s="22">
        <v>10</v>
      </c>
      <c r="D198" s="19">
        <v>2367</v>
      </c>
      <c r="E198" s="8" t="s">
        <v>42</v>
      </c>
      <c r="F198" t="s">
        <v>1146</v>
      </c>
      <c r="G198">
        <v>1</v>
      </c>
      <c r="H198" s="13" t="s">
        <v>47</v>
      </c>
      <c r="I198" s="17">
        <v>46025</v>
      </c>
      <c r="J198" s="2" t="s">
        <v>48</v>
      </c>
      <c r="K198" s="19">
        <f t="shared" ca="1" si="34"/>
        <v>4</v>
      </c>
      <c r="L198" t="s">
        <v>52</v>
      </c>
      <c r="M198" t="s">
        <v>1150</v>
      </c>
      <c r="N198" t="s">
        <v>58</v>
      </c>
      <c r="O198" s="11">
        <v>2</v>
      </c>
      <c r="P198" t="s">
        <v>62</v>
      </c>
      <c r="Q198" t="s">
        <v>1138</v>
      </c>
      <c r="R198" s="11">
        <v>10</v>
      </c>
      <c r="S198" s="2" t="s">
        <v>61</v>
      </c>
      <c r="T198" t="s">
        <v>63</v>
      </c>
      <c r="U198" t="s">
        <v>1151</v>
      </c>
      <c r="V198" t="s">
        <v>141</v>
      </c>
      <c r="W198" t="s">
        <v>76</v>
      </c>
      <c r="X198" t="s">
        <v>1152</v>
      </c>
      <c r="Y198" t="s">
        <v>62</v>
      </c>
      <c r="Z198" s="11">
        <v>1</v>
      </c>
      <c r="AA198" s="11">
        <v>0</v>
      </c>
      <c r="AB198" s="11">
        <v>0</v>
      </c>
      <c r="AC198" s="11">
        <f t="shared" si="29"/>
        <v>1</v>
      </c>
      <c r="AD198" s="11">
        <f t="shared" si="20"/>
        <v>4.224757076468103E-4</v>
      </c>
      <c r="AE198" s="11">
        <f t="shared" si="21"/>
        <v>0.42247570764681031</v>
      </c>
      <c r="AF198" s="11">
        <f t="shared" si="22"/>
        <v>0</v>
      </c>
      <c r="AG198" s="11">
        <f t="shared" si="27"/>
        <v>0</v>
      </c>
      <c r="AH198" s="11">
        <f t="shared" si="28"/>
        <v>0</v>
      </c>
      <c r="AI198" t="s">
        <v>63</v>
      </c>
      <c r="AJ198" t="s">
        <v>62</v>
      </c>
      <c r="AK198" t="s">
        <v>1153</v>
      </c>
      <c r="AL198" t="s">
        <v>1154</v>
      </c>
      <c r="AM198" t="str">
        <f t="shared" si="35"/>
        <v>Saturday</v>
      </c>
      <c r="AN198" t="s">
        <v>62</v>
      </c>
      <c r="AO198" s="31" t="s">
        <v>1194</v>
      </c>
      <c r="AP198" s="31" t="s">
        <v>52</v>
      </c>
      <c r="AQ198" t="s">
        <v>62</v>
      </c>
      <c r="AR198" s="11">
        <f t="shared" si="26"/>
        <v>1.0005371290452532</v>
      </c>
    </row>
    <row r="199" spans="1:44" x14ac:dyDescent="0.3">
      <c r="A199" s="27" t="s">
        <v>1051</v>
      </c>
      <c r="B199" s="30"/>
      <c r="C199" s="22">
        <v>10</v>
      </c>
      <c r="D199" s="19">
        <v>2367</v>
      </c>
      <c r="E199" s="8" t="s">
        <v>42</v>
      </c>
      <c r="F199" t="s">
        <v>1147</v>
      </c>
      <c r="G199">
        <v>2</v>
      </c>
      <c r="H199" s="13" t="s">
        <v>47</v>
      </c>
      <c r="I199" s="17">
        <v>46024</v>
      </c>
      <c r="J199" s="2" t="s">
        <v>48</v>
      </c>
      <c r="K199" s="19">
        <f t="shared" ca="1" si="34"/>
        <v>5</v>
      </c>
      <c r="L199" t="s">
        <v>1155</v>
      </c>
      <c r="M199" t="s">
        <v>1156</v>
      </c>
      <c r="N199" t="s">
        <v>58</v>
      </c>
      <c r="O199" s="11">
        <v>2</v>
      </c>
      <c r="P199" t="s">
        <v>63</v>
      </c>
      <c r="Q199" t="s">
        <v>1157</v>
      </c>
      <c r="R199" s="11">
        <v>7</v>
      </c>
      <c r="S199" s="2" t="s">
        <v>99</v>
      </c>
      <c r="T199" t="s">
        <v>63</v>
      </c>
      <c r="U199" t="s">
        <v>1158</v>
      </c>
      <c r="V199" t="s">
        <v>141</v>
      </c>
      <c r="W199" t="s">
        <v>76</v>
      </c>
      <c r="X199" t="s">
        <v>430</v>
      </c>
      <c r="Y199" t="s">
        <v>63</v>
      </c>
      <c r="Z199" s="11">
        <v>13</v>
      </c>
      <c r="AA199" s="11">
        <v>0</v>
      </c>
      <c r="AB199" s="11">
        <v>0</v>
      </c>
      <c r="AC199" s="11">
        <f t="shared" si="29"/>
        <v>13</v>
      </c>
      <c r="AD199" s="11">
        <f t="shared" si="20"/>
        <v>5.4921841994085337E-3</v>
      </c>
      <c r="AE199" s="11">
        <f t="shared" si="21"/>
        <v>5.4921841994085341</v>
      </c>
      <c r="AF199" s="11">
        <f t="shared" si="22"/>
        <v>0</v>
      </c>
      <c r="AG199" s="11">
        <f t="shared" si="27"/>
        <v>0</v>
      </c>
      <c r="AH199" s="11">
        <f t="shared" si="28"/>
        <v>0</v>
      </c>
      <c r="AI199" t="s">
        <v>62</v>
      </c>
      <c r="AJ199" t="s">
        <v>62</v>
      </c>
      <c r="AK199" t="s">
        <v>1159</v>
      </c>
      <c r="AL199" t="s">
        <v>1160</v>
      </c>
      <c r="AM199" t="str">
        <f t="shared" si="35"/>
        <v>Friday</v>
      </c>
      <c r="AN199" t="s">
        <v>62</v>
      </c>
      <c r="AO199" s="31"/>
      <c r="AP199" s="31"/>
      <c r="AQ199" t="s">
        <v>62</v>
      </c>
      <c r="AR199" s="11">
        <f t="shared" si="26"/>
        <v>1.0069826775882906</v>
      </c>
    </row>
    <row r="200" spans="1:44" x14ac:dyDescent="0.3">
      <c r="A200" s="27" t="s">
        <v>1051</v>
      </c>
      <c r="B200" s="30"/>
      <c r="C200" s="22">
        <v>10</v>
      </c>
      <c r="D200" s="19">
        <v>2367</v>
      </c>
      <c r="E200" s="8" t="s">
        <v>42</v>
      </c>
      <c r="F200" t="s">
        <v>1148</v>
      </c>
      <c r="G200">
        <v>3</v>
      </c>
      <c r="H200" s="13" t="s">
        <v>47</v>
      </c>
      <c r="I200" s="17">
        <v>46020</v>
      </c>
      <c r="J200" s="2" t="s">
        <v>48</v>
      </c>
      <c r="K200" s="19">
        <f t="shared" ca="1" si="34"/>
        <v>9</v>
      </c>
      <c r="L200" t="s">
        <v>1161</v>
      </c>
      <c r="M200" t="s">
        <v>166</v>
      </c>
      <c r="N200" t="s">
        <v>58</v>
      </c>
      <c r="O200" s="11">
        <v>1</v>
      </c>
      <c r="P200" t="s">
        <v>63</v>
      </c>
      <c r="Q200" t="s">
        <v>1162</v>
      </c>
      <c r="R200" s="11">
        <v>9</v>
      </c>
      <c r="S200" s="2" t="s">
        <v>99</v>
      </c>
      <c r="T200" t="s">
        <v>63</v>
      </c>
      <c r="U200" t="s">
        <v>1158</v>
      </c>
      <c r="V200" t="s">
        <v>141</v>
      </c>
      <c r="W200" t="s">
        <v>76</v>
      </c>
      <c r="X200" t="s">
        <v>816</v>
      </c>
      <c r="Y200" t="s">
        <v>63</v>
      </c>
      <c r="Z200" s="11">
        <v>14</v>
      </c>
      <c r="AA200" s="11">
        <v>0</v>
      </c>
      <c r="AB200" s="11">
        <v>0</v>
      </c>
      <c r="AC200" s="11">
        <f t="shared" si="29"/>
        <v>14</v>
      </c>
      <c r="AD200" s="11">
        <f t="shared" si="20"/>
        <v>5.9146599070553441E-3</v>
      </c>
      <c r="AE200" s="11">
        <f t="shared" si="21"/>
        <v>5.9146599070553441</v>
      </c>
      <c r="AF200" s="11">
        <f t="shared" si="22"/>
        <v>0</v>
      </c>
      <c r="AG200" s="11">
        <f t="shared" si="27"/>
        <v>0</v>
      </c>
      <c r="AH200" s="11">
        <f t="shared" si="28"/>
        <v>0</v>
      </c>
      <c r="AI200" t="s">
        <v>63</v>
      </c>
      <c r="AJ200" t="s">
        <v>62</v>
      </c>
      <c r="AK200" t="s">
        <v>1163</v>
      </c>
      <c r="AL200" t="s">
        <v>190</v>
      </c>
      <c r="AM200" t="str">
        <f t="shared" si="35"/>
        <v>Monday</v>
      </c>
      <c r="AN200" t="s">
        <v>62</v>
      </c>
      <c r="AO200" s="31"/>
      <c r="AP200" s="31"/>
      <c r="AQ200" t="s">
        <v>62</v>
      </c>
      <c r="AR200" s="11">
        <f t="shared" si="26"/>
        <v>1.0075198066335438</v>
      </c>
    </row>
    <row r="201" spans="1:44" x14ac:dyDescent="0.3">
      <c r="A201" s="27" t="s">
        <v>1051</v>
      </c>
      <c r="B201" s="30"/>
      <c r="C201" s="22">
        <v>10</v>
      </c>
      <c r="D201" s="19">
        <v>2367</v>
      </c>
      <c r="E201" s="8" t="s">
        <v>42</v>
      </c>
      <c r="F201" t="s">
        <v>1149</v>
      </c>
      <c r="G201">
        <v>4</v>
      </c>
      <c r="H201" s="13" t="s">
        <v>47</v>
      </c>
      <c r="I201" s="17">
        <v>46018</v>
      </c>
      <c r="J201" s="2" t="s">
        <v>48</v>
      </c>
      <c r="K201" s="19">
        <f t="shared" ca="1" si="34"/>
        <v>11</v>
      </c>
      <c r="L201" t="s">
        <v>1164</v>
      </c>
      <c r="M201" t="s">
        <v>1165</v>
      </c>
      <c r="N201" t="s">
        <v>57</v>
      </c>
      <c r="O201" s="11">
        <v>1</v>
      </c>
      <c r="P201" t="s">
        <v>62</v>
      </c>
      <c r="Q201" t="s">
        <v>1166</v>
      </c>
      <c r="R201" s="11">
        <v>9</v>
      </c>
      <c r="S201" s="2" t="s">
        <v>99</v>
      </c>
      <c r="T201" t="s">
        <v>62</v>
      </c>
      <c r="U201" t="s">
        <v>173</v>
      </c>
      <c r="V201" t="s">
        <v>173</v>
      </c>
      <c r="W201" t="s">
        <v>173</v>
      </c>
      <c r="X201" t="s">
        <v>173</v>
      </c>
      <c r="Y201" t="s">
        <v>62</v>
      </c>
      <c r="Z201" s="11">
        <v>23</v>
      </c>
      <c r="AA201" s="11">
        <v>2</v>
      </c>
      <c r="AB201" s="11">
        <v>0</v>
      </c>
      <c r="AC201" s="11">
        <f t="shared" si="29"/>
        <v>25</v>
      </c>
      <c r="AD201" s="11">
        <f t="shared" si="20"/>
        <v>1.0561892691170258E-2</v>
      </c>
      <c r="AE201" s="11">
        <f t="shared" si="21"/>
        <v>10.561892691170257</v>
      </c>
      <c r="AF201" s="11">
        <f t="shared" si="22"/>
        <v>8.4495141529362064E-2</v>
      </c>
      <c r="AG201" s="11">
        <f t="shared" si="27"/>
        <v>0</v>
      </c>
      <c r="AH201" s="11">
        <f t="shared" si="28"/>
        <v>8.6956521739130432E-2</v>
      </c>
      <c r="AI201" t="s">
        <v>63</v>
      </c>
      <c r="AJ201" t="s">
        <v>62</v>
      </c>
      <c r="AK201" t="s">
        <v>1167</v>
      </c>
      <c r="AL201" t="s">
        <v>1168</v>
      </c>
      <c r="AM201" t="str">
        <f t="shared" si="35"/>
        <v>Saturday</v>
      </c>
      <c r="AN201" t="s">
        <v>62</v>
      </c>
      <c r="AO201" s="31"/>
      <c r="AP201" s="31"/>
      <c r="AQ201" t="s">
        <v>62</v>
      </c>
      <c r="AR201" s="11">
        <f t="shared" si="26"/>
        <v>1.0134282261313281</v>
      </c>
    </row>
    <row r="202" spans="1:44" x14ac:dyDescent="0.3">
      <c r="A202" s="27" t="s">
        <v>1052</v>
      </c>
      <c r="B202" s="30" t="s">
        <v>1074</v>
      </c>
      <c r="C202" s="22">
        <v>1</v>
      </c>
      <c r="D202" s="19">
        <v>4027</v>
      </c>
      <c r="E202" s="8" t="s">
        <v>42</v>
      </c>
      <c r="F202" t="s">
        <v>1169</v>
      </c>
      <c r="G202">
        <v>1</v>
      </c>
      <c r="H202" s="13" t="s">
        <v>47</v>
      </c>
      <c r="I202" s="17">
        <v>45627</v>
      </c>
      <c r="J202" s="2" t="s">
        <v>48</v>
      </c>
      <c r="K202" s="19">
        <f t="shared" ca="1" si="34"/>
        <v>402</v>
      </c>
      <c r="L202" t="s">
        <v>1173</v>
      </c>
      <c r="M202" t="s">
        <v>1174</v>
      </c>
      <c r="N202" t="s">
        <v>58</v>
      </c>
      <c r="O202" s="11">
        <v>1</v>
      </c>
      <c r="P202" t="s">
        <v>63</v>
      </c>
      <c r="Q202" t="s">
        <v>1175</v>
      </c>
      <c r="R202" s="11">
        <v>4</v>
      </c>
      <c r="S202" s="2" t="s">
        <v>75</v>
      </c>
      <c r="T202" t="s">
        <v>62</v>
      </c>
      <c r="U202" t="s">
        <v>173</v>
      </c>
      <c r="V202" t="s">
        <v>173</v>
      </c>
      <c r="W202" t="s">
        <v>173</v>
      </c>
      <c r="X202" t="s">
        <v>173</v>
      </c>
      <c r="Y202" t="s">
        <v>63</v>
      </c>
      <c r="Z202" s="11">
        <v>20</v>
      </c>
      <c r="AA202" s="11">
        <v>2</v>
      </c>
      <c r="AB202" s="11">
        <v>0</v>
      </c>
      <c r="AC202" s="11">
        <f t="shared" si="29"/>
        <v>22</v>
      </c>
      <c r="AD202" s="11">
        <f t="shared" si="20"/>
        <v>5.4631239135833126E-3</v>
      </c>
      <c r="AE202" s="11">
        <f t="shared" si="21"/>
        <v>5.4631239135833125</v>
      </c>
      <c r="AF202" s="11">
        <f t="shared" si="22"/>
        <v>4.9664762850757389E-2</v>
      </c>
      <c r="AG202" s="11">
        <f t="shared" si="27"/>
        <v>0</v>
      </c>
      <c r="AH202" s="11">
        <f t="shared" si="28"/>
        <v>0.1</v>
      </c>
      <c r="AI202" t="s">
        <v>63</v>
      </c>
      <c r="AJ202" t="s">
        <v>62</v>
      </c>
      <c r="AK202" t="s">
        <v>1176</v>
      </c>
      <c r="AL202" t="s">
        <v>1177</v>
      </c>
      <c r="AM202" t="str">
        <f>TEXT(I203,"dddd")</f>
        <v>Friday</v>
      </c>
      <c r="AN202" t="s">
        <v>62</v>
      </c>
      <c r="AO202" s="31" t="s">
        <v>832</v>
      </c>
      <c r="AP202" s="31" t="s">
        <v>1173</v>
      </c>
      <c r="AQ202" t="s">
        <v>63</v>
      </c>
      <c r="AR202" s="11">
        <f t="shared" si="26"/>
        <v>1.0118168389955686</v>
      </c>
    </row>
    <row r="203" spans="1:44" x14ac:dyDescent="0.3">
      <c r="A203" s="27" t="s">
        <v>1052</v>
      </c>
      <c r="B203" s="30"/>
      <c r="C203" s="22">
        <v>1</v>
      </c>
      <c r="D203" s="19">
        <v>4027</v>
      </c>
      <c r="E203" s="8" t="s">
        <v>42</v>
      </c>
      <c r="F203" t="s">
        <v>1170</v>
      </c>
      <c r="G203">
        <v>2</v>
      </c>
      <c r="H203" s="13" t="s">
        <v>47</v>
      </c>
      <c r="I203" s="17">
        <v>44533</v>
      </c>
      <c r="J203" s="2" t="s">
        <v>48</v>
      </c>
      <c r="K203" s="19">
        <f t="shared" ca="1" si="34"/>
        <v>1496</v>
      </c>
      <c r="L203" t="s">
        <v>276</v>
      </c>
      <c r="M203" t="s">
        <v>1178</v>
      </c>
      <c r="N203" t="s">
        <v>57</v>
      </c>
      <c r="O203" s="11">
        <v>1</v>
      </c>
      <c r="P203" t="s">
        <v>63</v>
      </c>
      <c r="Q203" t="s">
        <v>1179</v>
      </c>
      <c r="R203" s="11">
        <v>3</v>
      </c>
      <c r="S203" s="2" t="s">
        <v>99</v>
      </c>
      <c r="T203" t="s">
        <v>63</v>
      </c>
      <c r="U203" t="s">
        <v>470</v>
      </c>
      <c r="V203" t="s">
        <v>984</v>
      </c>
      <c r="W203" t="s">
        <v>76</v>
      </c>
      <c r="X203" t="s">
        <v>81</v>
      </c>
      <c r="Y203" t="s">
        <v>63</v>
      </c>
      <c r="Z203" s="11">
        <v>85</v>
      </c>
      <c r="AA203" s="11">
        <v>40</v>
      </c>
      <c r="AB203" s="11">
        <v>5</v>
      </c>
      <c r="AC203" s="11">
        <f t="shared" si="29"/>
        <v>130</v>
      </c>
      <c r="AD203" s="11">
        <f t="shared" si="20"/>
        <v>3.2282095852992299E-2</v>
      </c>
      <c r="AE203" s="11">
        <f t="shared" si="21"/>
        <v>32.282095852992299</v>
      </c>
      <c r="AF203" s="11">
        <f t="shared" si="22"/>
        <v>0.99329525701514787</v>
      </c>
      <c r="AG203" s="11">
        <f t="shared" si="27"/>
        <v>0.12416190712689348</v>
      </c>
      <c r="AH203" s="11">
        <f t="shared" si="28"/>
        <v>0.47058823529411764</v>
      </c>
      <c r="AI203" t="s">
        <v>62</v>
      </c>
      <c r="AJ203" t="s">
        <v>62</v>
      </c>
      <c r="AK203" t="s">
        <v>1180</v>
      </c>
      <c r="AL203" t="s">
        <v>1181</v>
      </c>
      <c r="AM203" t="str">
        <f t="shared" ref="AM203:AM208" si="36">TEXT(I204,"dddd")</f>
        <v>Monday</v>
      </c>
      <c r="AN203" t="s">
        <v>62</v>
      </c>
      <c r="AO203" s="31"/>
      <c r="AP203" s="31"/>
      <c r="AQ203" t="s">
        <v>63</v>
      </c>
      <c r="AR203" s="11">
        <f t="shared" si="26"/>
        <v>1.0698267758829059</v>
      </c>
    </row>
    <row r="204" spans="1:44" x14ac:dyDescent="0.3">
      <c r="A204" s="27" t="s">
        <v>1052</v>
      </c>
      <c r="B204" s="30"/>
      <c r="C204" s="22">
        <v>1</v>
      </c>
      <c r="D204" s="19">
        <v>4027</v>
      </c>
      <c r="E204" s="8" t="s">
        <v>42</v>
      </c>
      <c r="F204" t="s">
        <v>1171</v>
      </c>
      <c r="G204">
        <v>3</v>
      </c>
      <c r="H204" s="13" t="s">
        <v>47</v>
      </c>
      <c r="I204" s="17">
        <v>44536</v>
      </c>
      <c r="J204" s="2" t="s">
        <v>48</v>
      </c>
      <c r="K204" s="19">
        <f t="shared" ca="1" si="34"/>
        <v>1493</v>
      </c>
      <c r="L204" t="s">
        <v>832</v>
      </c>
      <c r="M204" t="s">
        <v>1182</v>
      </c>
      <c r="N204" t="s">
        <v>58</v>
      </c>
      <c r="O204" s="11">
        <v>1</v>
      </c>
      <c r="P204" t="s">
        <v>63</v>
      </c>
      <c r="Q204" t="s">
        <v>1183</v>
      </c>
      <c r="R204" s="11">
        <v>11</v>
      </c>
      <c r="S204" s="2" t="s">
        <v>75</v>
      </c>
      <c r="T204" t="s">
        <v>63</v>
      </c>
      <c r="U204" t="s">
        <v>1184</v>
      </c>
      <c r="V204" t="s">
        <v>141</v>
      </c>
      <c r="W204" t="s">
        <v>142</v>
      </c>
      <c r="X204" t="s">
        <v>1185</v>
      </c>
      <c r="Y204" t="s">
        <v>62</v>
      </c>
      <c r="Z204" s="11">
        <v>117</v>
      </c>
      <c r="AA204" s="11">
        <v>21</v>
      </c>
      <c r="AB204" s="11">
        <v>2</v>
      </c>
      <c r="AC204" s="11">
        <f t="shared" si="29"/>
        <v>140</v>
      </c>
      <c r="AD204" s="11">
        <f t="shared" si="20"/>
        <v>3.4765333995530175E-2</v>
      </c>
      <c r="AE204" s="11">
        <f t="shared" si="21"/>
        <v>34.765333995530177</v>
      </c>
      <c r="AF204" s="11">
        <f t="shared" si="22"/>
        <v>0.52148000993295263</v>
      </c>
      <c r="AG204" s="11">
        <f t="shared" si="27"/>
        <v>4.9664762850757389E-2</v>
      </c>
      <c r="AH204" s="11">
        <f t="shared" si="28"/>
        <v>0.17948717948717949</v>
      </c>
      <c r="AI204" t="s">
        <v>62</v>
      </c>
      <c r="AJ204" t="s">
        <v>62</v>
      </c>
      <c r="AK204" t="s">
        <v>1186</v>
      </c>
      <c r="AL204" t="s">
        <v>1187</v>
      </c>
      <c r="AM204" t="str">
        <f t="shared" si="36"/>
        <v>Tuesday</v>
      </c>
      <c r="AN204" t="s">
        <v>62</v>
      </c>
      <c r="AO204" s="31"/>
      <c r="AP204" s="31"/>
      <c r="AQ204" t="s">
        <v>63</v>
      </c>
      <c r="AR204" s="11">
        <f t="shared" si="26"/>
        <v>1.075198066335437</v>
      </c>
    </row>
    <row r="205" spans="1:44" x14ac:dyDescent="0.3">
      <c r="A205" s="27" t="s">
        <v>1052</v>
      </c>
      <c r="B205" s="30"/>
      <c r="C205" s="22">
        <v>1</v>
      </c>
      <c r="D205" s="19">
        <v>4027</v>
      </c>
      <c r="E205" s="8" t="s">
        <v>42</v>
      </c>
      <c r="F205" t="s">
        <v>1172</v>
      </c>
      <c r="G205">
        <v>4</v>
      </c>
      <c r="H205" s="13" t="s">
        <v>47</v>
      </c>
      <c r="I205" s="17">
        <v>44537</v>
      </c>
      <c r="J205" s="2" t="s">
        <v>48</v>
      </c>
      <c r="K205" s="19">
        <f t="shared" ca="1" si="34"/>
        <v>1492</v>
      </c>
      <c r="L205" t="s">
        <v>1188</v>
      </c>
      <c r="M205" t="s">
        <v>166</v>
      </c>
      <c r="N205" t="s">
        <v>58</v>
      </c>
      <c r="O205" s="11">
        <v>2</v>
      </c>
      <c r="P205" t="s">
        <v>63</v>
      </c>
      <c r="Q205" t="s">
        <v>1189</v>
      </c>
      <c r="R205" s="11">
        <v>18</v>
      </c>
      <c r="S205" s="2" t="s">
        <v>75</v>
      </c>
      <c r="T205" t="s">
        <v>63</v>
      </c>
      <c r="U205" t="s">
        <v>1190</v>
      </c>
      <c r="V205" t="s">
        <v>141</v>
      </c>
      <c r="W205" t="s">
        <v>76</v>
      </c>
      <c r="X205" t="s">
        <v>1191</v>
      </c>
      <c r="Y205" t="s">
        <v>62</v>
      </c>
      <c r="Z205" s="11">
        <v>46</v>
      </c>
      <c r="AA205" s="11">
        <v>11</v>
      </c>
      <c r="AB205" s="11">
        <v>0</v>
      </c>
      <c r="AC205" s="11">
        <f t="shared" si="29"/>
        <v>57</v>
      </c>
      <c r="AD205" s="11">
        <f t="shared" si="20"/>
        <v>1.4154457412465855E-2</v>
      </c>
      <c r="AE205" s="11">
        <f t="shared" si="21"/>
        <v>14.154457412465856</v>
      </c>
      <c r="AF205" s="11">
        <f t="shared" si="22"/>
        <v>0.2731561956791656</v>
      </c>
      <c r="AG205" s="11">
        <f t="shared" si="27"/>
        <v>0</v>
      </c>
      <c r="AH205" s="11">
        <f t="shared" si="28"/>
        <v>0.2391304347826087</v>
      </c>
      <c r="AI205" t="s">
        <v>63</v>
      </c>
      <c r="AJ205" t="s">
        <v>63</v>
      </c>
      <c r="AK205" t="s">
        <v>1192</v>
      </c>
      <c r="AL205" t="s">
        <v>1193</v>
      </c>
      <c r="AM205" t="str">
        <f t="shared" si="36"/>
        <v>Wednesday</v>
      </c>
      <c r="AN205" t="s">
        <v>62</v>
      </c>
      <c r="AO205" s="31"/>
      <c r="AP205" s="31"/>
      <c r="AQ205" t="s">
        <v>63</v>
      </c>
      <c r="AR205" s="11">
        <f t="shared" si="26"/>
        <v>1.0306163555794279</v>
      </c>
    </row>
    <row r="206" spans="1:44" x14ac:dyDescent="0.3">
      <c r="A206" s="27" t="s">
        <v>1053</v>
      </c>
      <c r="B206" s="30" t="s">
        <v>1075</v>
      </c>
      <c r="C206" s="22">
        <v>1</v>
      </c>
      <c r="D206" s="19">
        <v>5354</v>
      </c>
      <c r="E206" s="8" t="s">
        <v>42</v>
      </c>
      <c r="F206" t="s">
        <v>85</v>
      </c>
      <c r="G206">
        <v>1</v>
      </c>
      <c r="H206" s="13" t="s">
        <v>47</v>
      </c>
      <c r="I206" s="17">
        <v>46022</v>
      </c>
      <c r="J206" s="2" t="s">
        <v>48</v>
      </c>
      <c r="K206" s="19">
        <f t="shared" ca="1" si="34"/>
        <v>7</v>
      </c>
      <c r="L206" t="s">
        <v>52</v>
      </c>
      <c r="M206" t="s">
        <v>55</v>
      </c>
      <c r="N206" t="s">
        <v>57</v>
      </c>
      <c r="O206" s="11">
        <v>1</v>
      </c>
      <c r="P206" t="s">
        <v>63</v>
      </c>
      <c r="Q206" t="s">
        <v>945</v>
      </c>
      <c r="R206" s="11">
        <v>13</v>
      </c>
      <c r="S206" s="2" t="s">
        <v>75</v>
      </c>
      <c r="T206" t="s">
        <v>63</v>
      </c>
      <c r="U206" t="s">
        <v>1201</v>
      </c>
      <c r="V206" t="s">
        <v>1202</v>
      </c>
      <c r="W206" t="s">
        <v>76</v>
      </c>
      <c r="X206" t="s">
        <v>1203</v>
      </c>
      <c r="Y206" t="s">
        <v>63</v>
      </c>
      <c r="Z206" s="11">
        <v>14</v>
      </c>
      <c r="AA206" s="11">
        <v>0</v>
      </c>
      <c r="AB206" s="11">
        <v>0</v>
      </c>
      <c r="AC206" s="11">
        <f t="shared" si="29"/>
        <v>14</v>
      </c>
      <c r="AD206" s="11">
        <f t="shared" si="20"/>
        <v>2.6148673888681359E-3</v>
      </c>
      <c r="AE206" s="11">
        <f t="shared" si="21"/>
        <v>2.6148673888681357</v>
      </c>
      <c r="AF206" s="11">
        <f t="shared" si="22"/>
        <v>0</v>
      </c>
      <c r="AG206" s="11">
        <f t="shared" si="27"/>
        <v>0</v>
      </c>
      <c r="AH206" s="11">
        <f t="shared" si="28"/>
        <v>0</v>
      </c>
      <c r="AI206" t="s">
        <v>62</v>
      </c>
      <c r="AJ206" t="s">
        <v>63</v>
      </c>
      <c r="AK206" t="s">
        <v>1204</v>
      </c>
      <c r="AL206" t="s">
        <v>1205</v>
      </c>
      <c r="AM206" t="str">
        <f t="shared" si="36"/>
        <v>Sunday</v>
      </c>
      <c r="AN206" t="s">
        <v>62</v>
      </c>
      <c r="AO206" s="31" t="s">
        <v>1207</v>
      </c>
      <c r="AP206" s="31" t="s">
        <v>1206</v>
      </c>
      <c r="AQ206" t="s">
        <v>62</v>
      </c>
      <c r="AR206" s="11">
        <f t="shared" si="26"/>
        <v>1.0075198066335438</v>
      </c>
    </row>
    <row r="207" spans="1:44" x14ac:dyDescent="0.3">
      <c r="A207" s="27" t="s">
        <v>1053</v>
      </c>
      <c r="B207" s="30"/>
      <c r="C207" s="22">
        <v>1</v>
      </c>
      <c r="D207" s="19">
        <v>5354</v>
      </c>
      <c r="E207" s="8" t="s">
        <v>42</v>
      </c>
      <c r="F207" t="s">
        <v>283</v>
      </c>
      <c r="G207">
        <v>2</v>
      </c>
      <c r="H207" s="13" t="s">
        <v>47</v>
      </c>
      <c r="I207" s="17">
        <v>46019</v>
      </c>
      <c r="J207" s="2" t="s">
        <v>48</v>
      </c>
      <c r="K207" s="19">
        <f t="shared" ca="1" si="34"/>
        <v>10</v>
      </c>
      <c r="L207" t="s">
        <v>52</v>
      </c>
      <c r="M207" t="s">
        <v>1206</v>
      </c>
      <c r="N207" t="s">
        <v>57</v>
      </c>
      <c r="O207" s="11">
        <v>1</v>
      </c>
      <c r="P207" t="s">
        <v>63</v>
      </c>
      <c r="Q207" t="s">
        <v>696</v>
      </c>
      <c r="R207" s="11">
        <v>10</v>
      </c>
      <c r="S207" t="s">
        <v>61</v>
      </c>
      <c r="T207" t="s">
        <v>63</v>
      </c>
      <c r="U207" t="s">
        <v>1198</v>
      </c>
      <c r="V207" t="s">
        <v>1202</v>
      </c>
      <c r="W207" t="s">
        <v>76</v>
      </c>
      <c r="X207" t="s">
        <v>1199</v>
      </c>
      <c r="Y207" t="s">
        <v>62</v>
      </c>
      <c r="Z207" s="11">
        <v>13</v>
      </c>
      <c r="AA207" s="11">
        <v>0</v>
      </c>
      <c r="AB207" s="11">
        <v>0</v>
      </c>
      <c r="AC207" s="11">
        <f t="shared" si="29"/>
        <v>13</v>
      </c>
      <c r="AD207" s="11">
        <f t="shared" si="20"/>
        <v>2.4280911468061261E-3</v>
      </c>
      <c r="AE207" s="11">
        <f t="shared" si="21"/>
        <v>2.4280911468061261</v>
      </c>
      <c r="AF207" s="11">
        <f t="shared" si="22"/>
        <v>0</v>
      </c>
      <c r="AG207" s="11">
        <f t="shared" si="27"/>
        <v>0</v>
      </c>
      <c r="AH207" s="11">
        <f t="shared" si="28"/>
        <v>0</v>
      </c>
      <c r="AI207" t="s">
        <v>62</v>
      </c>
      <c r="AJ207" t="s">
        <v>63</v>
      </c>
      <c r="AK207" t="s">
        <v>1200</v>
      </c>
      <c r="AL207" t="s">
        <v>188</v>
      </c>
      <c r="AM207" t="str">
        <f t="shared" si="36"/>
        <v>Monday</v>
      </c>
      <c r="AN207" t="s">
        <v>62</v>
      </c>
      <c r="AO207" s="31"/>
      <c r="AP207" s="31"/>
      <c r="AQ207" t="s">
        <v>62</v>
      </c>
      <c r="AR207" s="11">
        <f t="shared" si="26"/>
        <v>1.0069826775882906</v>
      </c>
    </row>
    <row r="208" spans="1:44" x14ac:dyDescent="0.3">
      <c r="A208" s="27" t="s">
        <v>1053</v>
      </c>
      <c r="B208" s="30"/>
      <c r="C208" s="22">
        <v>1</v>
      </c>
      <c r="D208" s="19">
        <v>5354</v>
      </c>
      <c r="E208" s="8" t="s">
        <v>42</v>
      </c>
      <c r="F208" t="s">
        <v>1195</v>
      </c>
      <c r="G208">
        <v>3</v>
      </c>
      <c r="H208" s="13" t="s">
        <v>47</v>
      </c>
      <c r="I208" s="17">
        <v>46013</v>
      </c>
      <c r="J208" s="2" t="s">
        <v>48</v>
      </c>
      <c r="K208" s="19">
        <f t="shared" ca="1" si="34"/>
        <v>16</v>
      </c>
      <c r="L208" t="s">
        <v>52</v>
      </c>
      <c r="M208" t="s">
        <v>1207</v>
      </c>
      <c r="N208" t="s">
        <v>57</v>
      </c>
      <c r="O208" s="11">
        <v>1</v>
      </c>
      <c r="P208" t="s">
        <v>63</v>
      </c>
      <c r="Q208" t="s">
        <v>1208</v>
      </c>
      <c r="R208" s="11">
        <v>10</v>
      </c>
      <c r="S208" t="s">
        <v>61</v>
      </c>
      <c r="T208" t="s">
        <v>63</v>
      </c>
      <c r="U208" t="s">
        <v>1209</v>
      </c>
      <c r="V208" t="s">
        <v>1202</v>
      </c>
      <c r="W208" t="s">
        <v>76</v>
      </c>
      <c r="X208" t="s">
        <v>1210</v>
      </c>
      <c r="Y208" t="s">
        <v>63</v>
      </c>
      <c r="Z208" s="11">
        <v>28</v>
      </c>
      <c r="AA208" s="11">
        <v>1</v>
      </c>
      <c r="AB208" s="11">
        <v>1</v>
      </c>
      <c r="AC208" s="11">
        <f t="shared" si="29"/>
        <v>30</v>
      </c>
      <c r="AD208" s="11">
        <f t="shared" si="20"/>
        <v>5.6032872618602915E-3</v>
      </c>
      <c r="AE208" s="11">
        <f t="shared" si="21"/>
        <v>5.6032872618602916</v>
      </c>
      <c r="AF208" s="11">
        <f t="shared" si="22"/>
        <v>1.8677624206200973E-2</v>
      </c>
      <c r="AG208" s="11">
        <f t="shared" si="27"/>
        <v>1.8677624206200973E-2</v>
      </c>
      <c r="AH208" s="11">
        <f t="shared" si="28"/>
        <v>3.5714285714285712E-2</v>
      </c>
      <c r="AI208" t="s">
        <v>62</v>
      </c>
      <c r="AJ208" t="s">
        <v>63</v>
      </c>
      <c r="AK208" t="s">
        <v>1211</v>
      </c>
      <c r="AL208" t="s">
        <v>190</v>
      </c>
      <c r="AM208" t="str">
        <f t="shared" si="36"/>
        <v>Sunday</v>
      </c>
      <c r="AN208" t="s">
        <v>62</v>
      </c>
      <c r="AO208" s="31"/>
      <c r="AP208" s="31"/>
      <c r="AQ208" t="s">
        <v>62</v>
      </c>
      <c r="AR208" s="11">
        <f t="shared" si="26"/>
        <v>1.0161138713575937</v>
      </c>
    </row>
    <row r="209" spans="1:44" x14ac:dyDescent="0.3">
      <c r="A209" s="27" t="s">
        <v>1053</v>
      </c>
      <c r="B209" s="30"/>
      <c r="C209" s="22">
        <v>1</v>
      </c>
      <c r="D209" s="19">
        <v>5354</v>
      </c>
      <c r="E209" s="8" t="s">
        <v>42</v>
      </c>
      <c r="F209" t="s">
        <v>1196</v>
      </c>
      <c r="G209">
        <v>4</v>
      </c>
      <c r="H209" s="13" t="s">
        <v>47</v>
      </c>
      <c r="I209" s="17">
        <v>45963</v>
      </c>
      <c r="J209" s="2" t="s">
        <v>48</v>
      </c>
      <c r="K209" s="19">
        <f t="shared" ca="1" si="34"/>
        <v>66</v>
      </c>
      <c r="L209" t="s">
        <v>52</v>
      </c>
      <c r="M209" t="s">
        <v>1197</v>
      </c>
      <c r="N209" t="s">
        <v>58</v>
      </c>
      <c r="O209" s="11">
        <v>1</v>
      </c>
      <c r="P209" t="s">
        <v>63</v>
      </c>
      <c r="Q209" t="s">
        <v>696</v>
      </c>
      <c r="R209" s="11">
        <v>10</v>
      </c>
      <c r="S209" t="s">
        <v>61</v>
      </c>
      <c r="T209" t="s">
        <v>63</v>
      </c>
      <c r="U209" t="s">
        <v>1198</v>
      </c>
      <c r="V209" t="s">
        <v>141</v>
      </c>
      <c r="W209" t="s">
        <v>76</v>
      </c>
      <c r="X209" t="s">
        <v>1199</v>
      </c>
      <c r="Y209" t="s">
        <v>62</v>
      </c>
      <c r="Z209" s="11">
        <v>14</v>
      </c>
      <c r="AA209" s="11">
        <v>1</v>
      </c>
      <c r="AB209" s="11">
        <v>0</v>
      </c>
      <c r="AC209" s="11">
        <f t="shared" si="29"/>
        <v>15</v>
      </c>
      <c r="AD209" s="11">
        <f t="shared" si="20"/>
        <v>2.8016436309301457E-3</v>
      </c>
      <c r="AE209" s="11">
        <f t="shared" si="21"/>
        <v>2.8016436309301458</v>
      </c>
      <c r="AF209" s="11">
        <f t="shared" si="22"/>
        <v>1.8677624206200973E-2</v>
      </c>
      <c r="AG209" s="11">
        <f t="shared" si="27"/>
        <v>0</v>
      </c>
      <c r="AH209" s="11">
        <f t="shared" si="28"/>
        <v>7.1428571428571425E-2</v>
      </c>
      <c r="AI209" t="s">
        <v>63</v>
      </c>
      <c r="AJ209" t="s">
        <v>62</v>
      </c>
      <c r="AK209" t="s">
        <v>1200</v>
      </c>
      <c r="AL209" t="s">
        <v>188</v>
      </c>
      <c r="AM209" t="str">
        <f>TEXT(I210,"dddd")</f>
        <v>Thursday</v>
      </c>
      <c r="AN209" t="s">
        <v>62</v>
      </c>
      <c r="AO209" s="31"/>
      <c r="AP209" s="31"/>
      <c r="AQ209" t="s">
        <v>62</v>
      </c>
      <c r="AR209" s="11">
        <f t="shared" si="26"/>
        <v>1.0080569356787967</v>
      </c>
    </row>
    <row r="210" spans="1:44" x14ac:dyDescent="0.3">
      <c r="A210" s="27" t="s">
        <v>1054</v>
      </c>
      <c r="B210" s="30" t="s">
        <v>1076</v>
      </c>
      <c r="C210" s="22">
        <v>1</v>
      </c>
      <c r="D210" s="19">
        <v>8970</v>
      </c>
      <c r="E210" s="8" t="s">
        <v>42</v>
      </c>
      <c r="F210" t="s">
        <v>1212</v>
      </c>
      <c r="G210">
        <v>1</v>
      </c>
      <c r="H210" s="13" t="s">
        <v>47</v>
      </c>
      <c r="I210" s="17">
        <v>46023</v>
      </c>
      <c r="J210" s="2" t="s">
        <v>48</v>
      </c>
      <c r="K210" s="19">
        <f t="shared" ca="1" si="34"/>
        <v>6</v>
      </c>
      <c r="L210" t="s">
        <v>1225</v>
      </c>
      <c r="M210" t="s">
        <v>986</v>
      </c>
      <c r="N210" t="s">
        <v>58</v>
      </c>
      <c r="O210" s="11">
        <v>1</v>
      </c>
      <c r="P210" t="s">
        <v>63</v>
      </c>
      <c r="Q210" t="s">
        <v>986</v>
      </c>
      <c r="R210" s="11">
        <v>5</v>
      </c>
      <c r="S210" t="s">
        <v>99</v>
      </c>
      <c r="T210" t="s">
        <v>62</v>
      </c>
      <c r="U210" t="s">
        <v>173</v>
      </c>
      <c r="V210" t="s">
        <v>173</v>
      </c>
      <c r="W210" t="s">
        <v>173</v>
      </c>
      <c r="X210" t="s">
        <v>173</v>
      </c>
      <c r="Y210" t="s">
        <v>62</v>
      </c>
      <c r="Z210" s="11">
        <v>8</v>
      </c>
      <c r="AA210" s="11">
        <v>0</v>
      </c>
      <c r="AB210" s="11">
        <v>0</v>
      </c>
      <c r="AC210" s="11">
        <f t="shared" si="29"/>
        <v>8</v>
      </c>
      <c r="AD210" s="11">
        <f t="shared" si="20"/>
        <v>8.9186176142697885E-4</v>
      </c>
      <c r="AE210" s="11">
        <f t="shared" si="21"/>
        <v>0.89186176142697882</v>
      </c>
      <c r="AF210" s="11">
        <f t="shared" si="22"/>
        <v>0</v>
      </c>
      <c r="AG210" s="11">
        <f t="shared" si="27"/>
        <v>0</v>
      </c>
      <c r="AH210" s="11">
        <f t="shared" si="28"/>
        <v>0</v>
      </c>
      <c r="AI210" t="s">
        <v>62</v>
      </c>
      <c r="AJ210" t="s">
        <v>63</v>
      </c>
      <c r="AK210" t="s">
        <v>1226</v>
      </c>
      <c r="AL210" t="s">
        <v>1227</v>
      </c>
      <c r="AM210" t="str">
        <f t="shared" ref="AM210:AM216" si="37">TEXT(I211,"dddd")</f>
        <v>Tuesday</v>
      </c>
      <c r="AN210" t="s">
        <v>62</v>
      </c>
      <c r="AO210" s="31" t="s">
        <v>1225</v>
      </c>
      <c r="AP210" s="31" t="s">
        <v>502</v>
      </c>
      <c r="AQ210" t="s">
        <v>62</v>
      </c>
      <c r="AR210" s="11">
        <f t="shared" si="26"/>
        <v>1.0042970323620251</v>
      </c>
    </row>
    <row r="211" spans="1:44" x14ac:dyDescent="0.3">
      <c r="A211" s="27" t="s">
        <v>1054</v>
      </c>
      <c r="B211" s="30"/>
      <c r="C211" s="22">
        <v>1</v>
      </c>
      <c r="D211" s="19">
        <v>8970</v>
      </c>
      <c r="E211" s="8" t="s">
        <v>42</v>
      </c>
      <c r="F211" t="s">
        <v>1213</v>
      </c>
      <c r="G211">
        <v>2</v>
      </c>
      <c r="H211" s="13" t="s">
        <v>47</v>
      </c>
      <c r="I211" s="17">
        <v>46021</v>
      </c>
      <c r="J211" s="2" t="s">
        <v>48</v>
      </c>
      <c r="K211" s="19">
        <f t="shared" ca="1" si="34"/>
        <v>8</v>
      </c>
      <c r="L211" t="s">
        <v>52</v>
      </c>
      <c r="M211" t="s">
        <v>331</v>
      </c>
      <c r="N211" t="s">
        <v>58</v>
      </c>
      <c r="O211" s="11">
        <v>1</v>
      </c>
      <c r="P211" t="s">
        <v>63</v>
      </c>
      <c r="Q211" t="s">
        <v>1224</v>
      </c>
      <c r="R211" s="11">
        <v>9</v>
      </c>
      <c r="S211" t="s">
        <v>75</v>
      </c>
      <c r="T211" t="s">
        <v>63</v>
      </c>
      <c r="U211" t="s">
        <v>1223</v>
      </c>
      <c r="V211" t="s">
        <v>141</v>
      </c>
      <c r="W211" t="s">
        <v>76</v>
      </c>
      <c r="X211" t="s">
        <v>1222</v>
      </c>
      <c r="Y211" t="s">
        <v>63</v>
      </c>
      <c r="Z211" s="11">
        <v>4</v>
      </c>
      <c r="AA211" s="11">
        <v>0</v>
      </c>
      <c r="AB211" s="11">
        <v>0</v>
      </c>
      <c r="AC211" s="11">
        <f t="shared" si="29"/>
        <v>4</v>
      </c>
      <c r="AD211" s="11">
        <f t="shared" si="20"/>
        <v>4.4593088071348942E-4</v>
      </c>
      <c r="AE211" s="11">
        <f t="shared" si="21"/>
        <v>0.44593088071348941</v>
      </c>
      <c r="AF211" s="11">
        <f t="shared" si="22"/>
        <v>0</v>
      </c>
      <c r="AG211" s="11">
        <f t="shared" si="27"/>
        <v>0</v>
      </c>
      <c r="AH211" s="11">
        <f t="shared" si="28"/>
        <v>0</v>
      </c>
      <c r="AI211" t="s">
        <v>63</v>
      </c>
      <c r="AJ211" t="s">
        <v>63</v>
      </c>
      <c r="AK211" t="s">
        <v>1221</v>
      </c>
      <c r="AL211" t="s">
        <v>190</v>
      </c>
      <c r="AM211" t="str">
        <f t="shared" si="37"/>
        <v>Tuesday</v>
      </c>
      <c r="AN211" t="s">
        <v>62</v>
      </c>
      <c r="AO211" s="31"/>
      <c r="AP211" s="31"/>
      <c r="AQ211" t="s">
        <v>62</v>
      </c>
      <c r="AR211" s="11">
        <f t="shared" si="26"/>
        <v>1.0021485161810124</v>
      </c>
    </row>
    <row r="212" spans="1:44" x14ac:dyDescent="0.3">
      <c r="A212" s="27" t="s">
        <v>1054</v>
      </c>
      <c r="B212" s="30"/>
      <c r="C212" s="22">
        <v>1</v>
      </c>
      <c r="D212" s="19">
        <v>8970</v>
      </c>
      <c r="E212" s="8" t="s">
        <v>42</v>
      </c>
      <c r="F212" t="s">
        <v>1214</v>
      </c>
      <c r="G212">
        <v>3</v>
      </c>
      <c r="H212" s="13" t="s">
        <v>47</v>
      </c>
      <c r="I212" s="17">
        <v>46021</v>
      </c>
      <c r="J212" s="2" t="s">
        <v>48</v>
      </c>
      <c r="K212" s="19">
        <f t="shared" ca="1" si="34"/>
        <v>8</v>
      </c>
      <c r="L212" t="s">
        <v>502</v>
      </c>
      <c r="M212" t="s">
        <v>331</v>
      </c>
      <c r="N212" t="s">
        <v>58</v>
      </c>
      <c r="O212" s="11">
        <v>1</v>
      </c>
      <c r="P212" t="s">
        <v>63</v>
      </c>
      <c r="Q212" t="s">
        <v>1224</v>
      </c>
      <c r="R212" s="11">
        <v>9</v>
      </c>
      <c r="S212" t="s">
        <v>75</v>
      </c>
      <c r="T212" t="s">
        <v>63</v>
      </c>
      <c r="U212" t="s">
        <v>1223</v>
      </c>
      <c r="V212" t="s">
        <v>141</v>
      </c>
      <c r="W212" t="s">
        <v>76</v>
      </c>
      <c r="X212" t="s">
        <v>1222</v>
      </c>
      <c r="Y212" t="s">
        <v>63</v>
      </c>
      <c r="Z212" s="11">
        <v>2</v>
      </c>
      <c r="AA212" s="11">
        <v>0</v>
      </c>
      <c r="AB212" s="11">
        <v>0</v>
      </c>
      <c r="AC212" s="11">
        <f t="shared" si="29"/>
        <v>2</v>
      </c>
      <c r="AD212" s="11">
        <f t="shared" si="20"/>
        <v>2.2296544035674471E-4</v>
      </c>
      <c r="AE212" s="11">
        <f t="shared" si="21"/>
        <v>0.2229654403567447</v>
      </c>
      <c r="AF212" s="11">
        <f t="shared" si="22"/>
        <v>0</v>
      </c>
      <c r="AG212" s="11">
        <f t="shared" si="27"/>
        <v>0</v>
      </c>
      <c r="AH212" s="11">
        <f t="shared" si="28"/>
        <v>0</v>
      </c>
      <c r="AI212" t="s">
        <v>63</v>
      </c>
      <c r="AJ212" t="s">
        <v>63</v>
      </c>
      <c r="AK212" t="s">
        <v>1221</v>
      </c>
      <c r="AL212" t="s">
        <v>190</v>
      </c>
      <c r="AM212" t="str">
        <f t="shared" si="37"/>
        <v>Tuesday</v>
      </c>
      <c r="AN212" t="s">
        <v>62</v>
      </c>
      <c r="AO212" s="31"/>
      <c r="AP212" s="31"/>
      <c r="AQ212" t="s">
        <v>62</v>
      </c>
      <c r="AR212" s="11">
        <f t="shared" si="26"/>
        <v>1.0010742580905063</v>
      </c>
    </row>
    <row r="213" spans="1:44" x14ac:dyDescent="0.3">
      <c r="A213" s="27" t="s">
        <v>1054</v>
      </c>
      <c r="B213" s="30"/>
      <c r="C213" s="22">
        <v>1</v>
      </c>
      <c r="D213" s="19">
        <v>8970</v>
      </c>
      <c r="E213" s="8" t="s">
        <v>42</v>
      </c>
      <c r="F213" t="s">
        <v>1215</v>
      </c>
      <c r="G213">
        <v>4</v>
      </c>
      <c r="H213" s="13" t="s">
        <v>47</v>
      </c>
      <c r="I213" s="17">
        <v>46021</v>
      </c>
      <c r="J213" s="2" t="s">
        <v>48</v>
      </c>
      <c r="K213" s="19">
        <f t="shared" ca="1" si="34"/>
        <v>8</v>
      </c>
      <c r="L213" t="s">
        <v>52</v>
      </c>
      <c r="M213" t="s">
        <v>1216</v>
      </c>
      <c r="N213" t="s">
        <v>58</v>
      </c>
      <c r="O213" s="11">
        <v>1</v>
      </c>
      <c r="P213" t="s">
        <v>63</v>
      </c>
      <c r="Q213" t="s">
        <v>1217</v>
      </c>
      <c r="R213" s="11">
        <v>8</v>
      </c>
      <c r="S213" t="s">
        <v>75</v>
      </c>
      <c r="T213" t="s">
        <v>63</v>
      </c>
      <c r="U213" t="s">
        <v>1218</v>
      </c>
      <c r="V213" t="s">
        <v>141</v>
      </c>
      <c r="W213" t="s">
        <v>76</v>
      </c>
      <c r="X213" t="s">
        <v>430</v>
      </c>
      <c r="Y213" t="s">
        <v>63</v>
      </c>
      <c r="Z213" s="11">
        <v>5</v>
      </c>
      <c r="AA213" s="11">
        <v>2</v>
      </c>
      <c r="AB213" s="11">
        <v>0</v>
      </c>
      <c r="AC213" s="11">
        <f t="shared" si="29"/>
        <v>7</v>
      </c>
      <c r="AD213" s="11">
        <f t="shared" si="20"/>
        <v>7.8037904124860652E-4</v>
      </c>
      <c r="AE213" s="11">
        <f t="shared" si="21"/>
        <v>0.78037904124860646</v>
      </c>
      <c r="AF213" s="11">
        <f t="shared" si="22"/>
        <v>2.2296544035674472E-2</v>
      </c>
      <c r="AG213" s="11">
        <f t="shared" si="27"/>
        <v>0</v>
      </c>
      <c r="AH213" s="11">
        <f t="shared" si="28"/>
        <v>0.4</v>
      </c>
      <c r="AI213" t="s">
        <v>63</v>
      </c>
      <c r="AJ213" t="s">
        <v>62</v>
      </c>
      <c r="AK213" t="s">
        <v>1219</v>
      </c>
      <c r="AL213" t="s">
        <v>1220</v>
      </c>
      <c r="AM213" t="str">
        <f t="shared" si="37"/>
        <v>Saturday</v>
      </c>
      <c r="AN213" t="s">
        <v>62</v>
      </c>
      <c r="AO213" s="31"/>
      <c r="AP213" s="31"/>
      <c r="AQ213" t="s">
        <v>62</v>
      </c>
      <c r="AR213" s="11">
        <f t="shared" si="26"/>
        <v>1.0037599033167719</v>
      </c>
    </row>
    <row r="214" spans="1:44" x14ac:dyDescent="0.3">
      <c r="A214" s="27" t="s">
        <v>1055</v>
      </c>
      <c r="B214" s="30" t="s">
        <v>1077</v>
      </c>
      <c r="C214" s="22">
        <v>1</v>
      </c>
      <c r="D214" s="19">
        <v>13303</v>
      </c>
      <c r="E214" s="8" t="s">
        <v>42</v>
      </c>
      <c r="F214" t="s">
        <v>1228</v>
      </c>
      <c r="G214">
        <v>1</v>
      </c>
      <c r="H214" s="13" t="s">
        <v>47</v>
      </c>
      <c r="I214" s="17">
        <v>46025</v>
      </c>
      <c r="J214" s="2" t="s">
        <v>48</v>
      </c>
      <c r="K214" s="19">
        <f t="shared" ca="1" si="34"/>
        <v>4</v>
      </c>
      <c r="L214" t="s">
        <v>55</v>
      </c>
      <c r="M214" t="s">
        <v>1229</v>
      </c>
      <c r="N214" t="s">
        <v>58</v>
      </c>
      <c r="O214" s="11">
        <v>1</v>
      </c>
      <c r="P214" t="s">
        <v>63</v>
      </c>
      <c r="Q214" t="s">
        <v>1230</v>
      </c>
      <c r="R214" s="11">
        <v>11</v>
      </c>
      <c r="S214" t="s">
        <v>75</v>
      </c>
      <c r="T214" t="s">
        <v>63</v>
      </c>
      <c r="U214" t="s">
        <v>1231</v>
      </c>
      <c r="V214" t="s">
        <v>141</v>
      </c>
      <c r="W214" t="s">
        <v>142</v>
      </c>
      <c r="X214" t="s">
        <v>1232</v>
      </c>
      <c r="Y214" t="s">
        <v>62</v>
      </c>
      <c r="Z214" s="11">
        <v>81</v>
      </c>
      <c r="AA214" s="11">
        <v>27</v>
      </c>
      <c r="AB214" s="11">
        <v>1</v>
      </c>
      <c r="AC214" s="11">
        <f t="shared" si="29"/>
        <v>109</v>
      </c>
      <c r="AD214" s="11">
        <f t="shared" si="20"/>
        <v>8.1936405322107792E-3</v>
      </c>
      <c r="AE214" s="11">
        <f t="shared" si="21"/>
        <v>8.1936405322107788</v>
      </c>
      <c r="AF214" s="11">
        <f t="shared" si="22"/>
        <v>0.20296173795384498</v>
      </c>
      <c r="AG214" s="11">
        <f t="shared" si="27"/>
        <v>7.5171014056979622E-3</v>
      </c>
      <c r="AH214" s="11">
        <f t="shared" si="28"/>
        <v>0.33333333333333331</v>
      </c>
      <c r="AI214" t="s">
        <v>63</v>
      </c>
      <c r="AJ214" t="s">
        <v>62</v>
      </c>
      <c r="AK214" t="s">
        <v>1233</v>
      </c>
      <c r="AL214" t="s">
        <v>712</v>
      </c>
      <c r="AM214" t="str">
        <f t="shared" si="37"/>
        <v>Thursday</v>
      </c>
      <c r="AN214" t="s">
        <v>63</v>
      </c>
      <c r="AO214" s="31" t="s">
        <v>55</v>
      </c>
      <c r="AP214" s="31" t="s">
        <v>598</v>
      </c>
      <c r="AQ214" t="s">
        <v>63</v>
      </c>
      <c r="AR214" s="11">
        <f t="shared" si="26"/>
        <v>1.0585470659325904</v>
      </c>
    </row>
    <row r="215" spans="1:44" x14ac:dyDescent="0.3">
      <c r="A215" s="27" t="s">
        <v>1055</v>
      </c>
      <c r="B215" s="30"/>
      <c r="C215" s="22">
        <v>1</v>
      </c>
      <c r="D215" s="19">
        <v>13303</v>
      </c>
      <c r="E215" s="8" t="s">
        <v>42</v>
      </c>
      <c r="F215" t="s">
        <v>887</v>
      </c>
      <c r="G215">
        <v>2</v>
      </c>
      <c r="H215" s="13" t="s">
        <v>47</v>
      </c>
      <c r="I215" s="17">
        <v>46023</v>
      </c>
      <c r="J215" s="2" t="s">
        <v>48</v>
      </c>
      <c r="K215" s="19">
        <f t="shared" ca="1" si="34"/>
        <v>6</v>
      </c>
      <c r="L215" t="s">
        <v>55</v>
      </c>
      <c r="M215" t="s">
        <v>962</v>
      </c>
      <c r="N215" t="s">
        <v>58</v>
      </c>
      <c r="O215" s="11">
        <v>1</v>
      </c>
      <c r="P215" t="s">
        <v>63</v>
      </c>
      <c r="Q215" t="s">
        <v>605</v>
      </c>
      <c r="R215" s="11">
        <v>11</v>
      </c>
      <c r="S215" t="s">
        <v>61</v>
      </c>
      <c r="T215" t="s">
        <v>63</v>
      </c>
      <c r="U215" t="s">
        <v>1234</v>
      </c>
      <c r="V215" t="s">
        <v>141</v>
      </c>
      <c r="W215" t="s">
        <v>76</v>
      </c>
      <c r="X215" t="s">
        <v>1235</v>
      </c>
      <c r="Y215" t="s">
        <v>63</v>
      </c>
      <c r="Z215" s="11">
        <v>23</v>
      </c>
      <c r="AA215" s="11">
        <v>11</v>
      </c>
      <c r="AB215" s="11">
        <v>0</v>
      </c>
      <c r="AC215" s="11">
        <f t="shared" si="29"/>
        <v>34</v>
      </c>
      <c r="AD215" s="11">
        <f t="shared" si="20"/>
        <v>2.5558144779373074E-3</v>
      </c>
      <c r="AE215" s="11">
        <f t="shared" si="21"/>
        <v>2.5558144779373073</v>
      </c>
      <c r="AF215" s="11">
        <f t="shared" si="22"/>
        <v>8.2688115462677597E-2</v>
      </c>
      <c r="AG215" s="11">
        <f t="shared" si="27"/>
        <v>0</v>
      </c>
      <c r="AH215" s="11">
        <f t="shared" si="28"/>
        <v>0.47826086956521741</v>
      </c>
      <c r="AI215" t="s">
        <v>62</v>
      </c>
      <c r="AJ215" t="s">
        <v>63</v>
      </c>
      <c r="AK215" s="28" t="s">
        <v>1236</v>
      </c>
      <c r="AL215" t="s">
        <v>831</v>
      </c>
      <c r="AM215" t="str">
        <f t="shared" si="37"/>
        <v>Wednesday</v>
      </c>
      <c r="AN215" t="s">
        <v>63</v>
      </c>
      <c r="AO215" s="31"/>
      <c r="AP215" s="31"/>
      <c r="AQ215" t="s">
        <v>63</v>
      </c>
      <c r="AR215" s="11">
        <f t="shared" si="26"/>
        <v>1.0182623875386061</v>
      </c>
    </row>
    <row r="216" spans="1:44" x14ac:dyDescent="0.3">
      <c r="A216" s="27" t="s">
        <v>1055</v>
      </c>
      <c r="B216" s="30"/>
      <c r="C216" s="22">
        <v>1</v>
      </c>
      <c r="D216" s="19">
        <v>13303</v>
      </c>
      <c r="E216" s="8" t="s">
        <v>42</v>
      </c>
      <c r="F216" t="s">
        <v>365</v>
      </c>
      <c r="G216">
        <v>3</v>
      </c>
      <c r="H216" s="13" t="s">
        <v>47</v>
      </c>
      <c r="I216" s="17">
        <v>46022</v>
      </c>
      <c r="J216" s="2" t="s">
        <v>48</v>
      </c>
      <c r="K216" s="19">
        <f t="shared" ca="1" si="34"/>
        <v>7</v>
      </c>
      <c r="L216" t="s">
        <v>598</v>
      </c>
      <c r="M216" t="s">
        <v>703</v>
      </c>
      <c r="N216" t="s">
        <v>58</v>
      </c>
      <c r="O216" s="11">
        <v>5</v>
      </c>
      <c r="P216" t="s">
        <v>63</v>
      </c>
      <c r="Q216" t="s">
        <v>1237</v>
      </c>
      <c r="R216" s="11">
        <v>22</v>
      </c>
      <c r="S216" t="s">
        <v>61</v>
      </c>
      <c r="T216" t="s">
        <v>62</v>
      </c>
      <c r="U216" t="s">
        <v>173</v>
      </c>
      <c r="V216" t="s">
        <v>173</v>
      </c>
      <c r="W216" t="s">
        <v>173</v>
      </c>
      <c r="X216" t="s">
        <v>173</v>
      </c>
      <c r="Y216" t="s">
        <v>62</v>
      </c>
      <c r="Z216" s="11">
        <v>28</v>
      </c>
      <c r="AA216" s="11">
        <v>0</v>
      </c>
      <c r="AB216" s="11">
        <v>1</v>
      </c>
      <c r="AC216" s="11">
        <f t="shared" si="29"/>
        <v>29</v>
      </c>
      <c r="AD216" s="11">
        <f t="shared" si="20"/>
        <v>2.1799594076524092E-3</v>
      </c>
      <c r="AE216" s="11">
        <f t="shared" si="21"/>
        <v>2.1799594076524094</v>
      </c>
      <c r="AF216" s="11">
        <f t="shared" si="22"/>
        <v>0</v>
      </c>
      <c r="AG216" s="11">
        <f t="shared" si="27"/>
        <v>7.5171014056979622E-3</v>
      </c>
      <c r="AH216" s="11">
        <f t="shared" si="28"/>
        <v>0</v>
      </c>
      <c r="AI216" t="s">
        <v>63</v>
      </c>
      <c r="AJ216" t="s">
        <v>63</v>
      </c>
      <c r="AK216" t="s">
        <v>1238</v>
      </c>
      <c r="AL216" t="s">
        <v>1239</v>
      </c>
      <c r="AM216" t="str">
        <f t="shared" si="37"/>
        <v>Wednesday</v>
      </c>
      <c r="AN216" t="s">
        <v>63</v>
      </c>
      <c r="AO216" s="31"/>
      <c r="AP216" s="31"/>
      <c r="AQ216" t="s">
        <v>63</v>
      </c>
      <c r="AR216" s="11">
        <f t="shared" si="26"/>
        <v>1.0155767423123405</v>
      </c>
    </row>
    <row r="217" spans="1:44" x14ac:dyDescent="0.3">
      <c r="A217" s="27" t="s">
        <v>1055</v>
      </c>
      <c r="B217" s="30"/>
      <c r="C217" s="22">
        <v>1</v>
      </c>
      <c r="D217" s="19">
        <v>13303</v>
      </c>
      <c r="E217" s="8" t="s">
        <v>42</v>
      </c>
      <c r="F217" t="s">
        <v>492</v>
      </c>
      <c r="G217">
        <v>4</v>
      </c>
      <c r="H217" s="13" t="s">
        <v>47</v>
      </c>
      <c r="I217" s="17">
        <v>46022</v>
      </c>
      <c r="J217" s="2" t="s">
        <v>48</v>
      </c>
      <c r="K217" s="19">
        <f t="shared" ca="1" si="34"/>
        <v>7</v>
      </c>
      <c r="L217" t="s">
        <v>51</v>
      </c>
      <c r="M217" t="s">
        <v>1240</v>
      </c>
      <c r="N217" t="s">
        <v>58</v>
      </c>
      <c r="O217" s="11">
        <v>1</v>
      </c>
      <c r="P217" t="s">
        <v>63</v>
      </c>
      <c r="Q217" t="s">
        <v>1241</v>
      </c>
      <c r="R217" s="11">
        <v>9</v>
      </c>
      <c r="S217" t="s">
        <v>61</v>
      </c>
      <c r="T217" t="s">
        <v>63</v>
      </c>
      <c r="U217" t="s">
        <v>1242</v>
      </c>
      <c r="V217" t="s">
        <v>141</v>
      </c>
      <c r="W217" t="s">
        <v>142</v>
      </c>
      <c r="X217" t="s">
        <v>1243</v>
      </c>
      <c r="Y217" t="s">
        <v>63</v>
      </c>
      <c r="Z217" s="11">
        <v>28</v>
      </c>
      <c r="AA217" s="11">
        <v>1</v>
      </c>
      <c r="AB217" s="11">
        <v>0</v>
      </c>
      <c r="AC217" s="11">
        <f t="shared" si="29"/>
        <v>29</v>
      </c>
      <c r="AD217" s="11">
        <f t="shared" si="20"/>
        <v>2.1799594076524092E-3</v>
      </c>
      <c r="AE217" s="11">
        <f t="shared" si="21"/>
        <v>2.1799594076524094</v>
      </c>
      <c r="AF217" s="11">
        <f t="shared" si="22"/>
        <v>7.5171014056979622E-3</v>
      </c>
      <c r="AG217" s="11">
        <f t="shared" si="27"/>
        <v>0</v>
      </c>
      <c r="AH217" s="11">
        <f t="shared" si="28"/>
        <v>3.5714285714285712E-2</v>
      </c>
      <c r="AI217" t="s">
        <v>62</v>
      </c>
      <c r="AJ217" t="s">
        <v>62</v>
      </c>
      <c r="AK217" t="s">
        <v>1244</v>
      </c>
      <c r="AL217" t="s">
        <v>712</v>
      </c>
      <c r="AM217" t="str">
        <f>TEXT(I218,"dddd")</f>
        <v>Tuesday</v>
      </c>
      <c r="AN217" t="s">
        <v>63</v>
      </c>
      <c r="AO217" s="31"/>
      <c r="AP217" s="31"/>
      <c r="AQ217" t="s">
        <v>63</v>
      </c>
      <c r="AR217" s="11">
        <f t="shared" si="26"/>
        <v>1.0155767423123405</v>
      </c>
    </row>
    <row r="218" spans="1:44" x14ac:dyDescent="0.3">
      <c r="A218" s="27" t="s">
        <v>1056</v>
      </c>
      <c r="B218" s="30" t="s">
        <v>1078</v>
      </c>
      <c r="C218" s="22">
        <v>1</v>
      </c>
      <c r="D218" s="19">
        <v>3322</v>
      </c>
      <c r="E218" s="8" t="s">
        <v>42</v>
      </c>
      <c r="F218" t="s">
        <v>978</v>
      </c>
      <c r="G218">
        <v>1</v>
      </c>
      <c r="H218" s="13" t="s">
        <v>47</v>
      </c>
      <c r="I218" s="17">
        <v>46021</v>
      </c>
      <c r="J218" s="2" t="s">
        <v>48</v>
      </c>
      <c r="K218" s="19">
        <f t="shared" ca="1" si="34"/>
        <v>8</v>
      </c>
      <c r="L218" t="s">
        <v>1247</v>
      </c>
      <c r="M218" t="s">
        <v>1248</v>
      </c>
      <c r="N218" t="s">
        <v>58</v>
      </c>
      <c r="O218" s="11">
        <v>1</v>
      </c>
      <c r="P218" t="s">
        <v>63</v>
      </c>
      <c r="Q218" t="s">
        <v>1249</v>
      </c>
      <c r="R218" s="11">
        <v>22</v>
      </c>
      <c r="S218" t="s">
        <v>75</v>
      </c>
      <c r="T218" t="s">
        <v>62</v>
      </c>
      <c r="U218" t="s">
        <v>173</v>
      </c>
      <c r="V218" t="s">
        <v>173</v>
      </c>
      <c r="W218" t="s">
        <v>173</v>
      </c>
      <c r="X218" t="s">
        <v>173</v>
      </c>
      <c r="Y218" t="s">
        <v>62</v>
      </c>
      <c r="Z218" s="11">
        <v>22</v>
      </c>
      <c r="AA218" s="11">
        <v>0</v>
      </c>
      <c r="AB218" s="11">
        <v>0</v>
      </c>
      <c r="AC218" s="11">
        <f t="shared" si="29"/>
        <v>22</v>
      </c>
      <c r="AD218" s="11">
        <f t="shared" si="20"/>
        <v>6.6225165562913907E-3</v>
      </c>
      <c r="AE218" s="11">
        <f t="shared" si="21"/>
        <v>6.6225165562913908</v>
      </c>
      <c r="AF218" s="11">
        <f t="shared" si="22"/>
        <v>0</v>
      </c>
      <c r="AG218" s="11">
        <f t="shared" si="27"/>
        <v>0</v>
      </c>
      <c r="AH218" s="11">
        <f t="shared" si="28"/>
        <v>0</v>
      </c>
      <c r="AI218" t="s">
        <v>63</v>
      </c>
      <c r="AJ218" t="s">
        <v>62</v>
      </c>
      <c r="AK218" t="s">
        <v>1250</v>
      </c>
      <c r="AL218" s="11" t="s">
        <v>235</v>
      </c>
      <c r="AM218" t="str">
        <f t="shared" ref="AM218:AM220" si="38">TEXT(I219,"dddd")</f>
        <v>Tuesday</v>
      </c>
      <c r="AN218" t="s">
        <v>63</v>
      </c>
      <c r="AO218" s="31" t="s">
        <v>1257</v>
      </c>
      <c r="AP218" s="31" t="s">
        <v>1251</v>
      </c>
      <c r="AQ218" t="s">
        <v>63</v>
      </c>
      <c r="AR218" s="11">
        <f t="shared" si="26"/>
        <v>1.0118168389955686</v>
      </c>
    </row>
    <row r="219" spans="1:44" x14ac:dyDescent="0.3">
      <c r="A219" s="27" t="s">
        <v>1056</v>
      </c>
      <c r="B219" s="30"/>
      <c r="C219" s="22">
        <v>1</v>
      </c>
      <c r="D219" s="19">
        <v>3322</v>
      </c>
      <c r="E219" s="8" t="s">
        <v>42</v>
      </c>
      <c r="F219" t="s">
        <v>1245</v>
      </c>
      <c r="G219">
        <v>2</v>
      </c>
      <c r="H219" s="13" t="s">
        <v>47</v>
      </c>
      <c r="I219" s="17">
        <v>46021</v>
      </c>
      <c r="J219" s="2" t="s">
        <v>48</v>
      </c>
      <c r="K219" s="19">
        <f t="shared" ca="1" si="34"/>
        <v>8</v>
      </c>
      <c r="L219" t="s">
        <v>1251</v>
      </c>
      <c r="M219" t="s">
        <v>55</v>
      </c>
      <c r="N219" t="s">
        <v>58</v>
      </c>
      <c r="O219" s="11">
        <v>1</v>
      </c>
      <c r="P219" t="s">
        <v>63</v>
      </c>
      <c r="Q219" t="s">
        <v>1252</v>
      </c>
      <c r="R219" s="11">
        <v>6</v>
      </c>
      <c r="S219" t="s">
        <v>75</v>
      </c>
      <c r="T219" t="s">
        <v>63</v>
      </c>
      <c r="U219" s="29" t="s">
        <v>78</v>
      </c>
      <c r="V219" t="s">
        <v>141</v>
      </c>
      <c r="W219" t="s">
        <v>76</v>
      </c>
      <c r="X219" t="s">
        <v>816</v>
      </c>
      <c r="Y219" t="s">
        <v>63</v>
      </c>
      <c r="Z219" s="11">
        <v>2</v>
      </c>
      <c r="AA219" s="11">
        <v>0</v>
      </c>
      <c r="AB219" s="11">
        <v>0</v>
      </c>
      <c r="AC219" s="11">
        <f t="shared" si="29"/>
        <v>2</v>
      </c>
      <c r="AD219" s="11">
        <f t="shared" si="20"/>
        <v>6.020469596628537E-4</v>
      </c>
      <c r="AE219" s="11">
        <f t="shared" si="21"/>
        <v>0.60204695966285371</v>
      </c>
      <c r="AF219" s="11">
        <f t="shared" si="22"/>
        <v>0</v>
      </c>
      <c r="AG219" s="11">
        <f t="shared" si="27"/>
        <v>0</v>
      </c>
      <c r="AH219" s="11">
        <f t="shared" si="28"/>
        <v>0</v>
      </c>
      <c r="AI219" t="s">
        <v>63</v>
      </c>
      <c r="AJ219" t="s">
        <v>63</v>
      </c>
      <c r="AK219" t="s">
        <v>1253</v>
      </c>
      <c r="AL219" t="s">
        <v>231</v>
      </c>
      <c r="AM219" t="str">
        <f t="shared" si="38"/>
        <v>Thursday</v>
      </c>
      <c r="AN219" t="s">
        <v>63</v>
      </c>
      <c r="AO219" s="31"/>
      <c r="AP219" s="31"/>
      <c r="AQ219" t="s">
        <v>63</v>
      </c>
      <c r="AR219" s="11">
        <f t="shared" si="26"/>
        <v>1.0010742580905063</v>
      </c>
    </row>
    <row r="220" spans="1:44" x14ac:dyDescent="0.3">
      <c r="A220" s="27" t="s">
        <v>1056</v>
      </c>
      <c r="B220" s="30"/>
      <c r="C220" s="22">
        <v>1</v>
      </c>
      <c r="D220" s="19">
        <v>3322</v>
      </c>
      <c r="E220" s="8" t="s">
        <v>42</v>
      </c>
      <c r="F220" t="s">
        <v>365</v>
      </c>
      <c r="G220">
        <v>3</v>
      </c>
      <c r="H220" s="13" t="s">
        <v>47</v>
      </c>
      <c r="I220" s="17">
        <v>46016</v>
      </c>
      <c r="J220" s="2" t="s">
        <v>48</v>
      </c>
      <c r="K220" s="19">
        <f t="shared" ca="1" si="34"/>
        <v>13</v>
      </c>
      <c r="L220" t="s">
        <v>1254</v>
      </c>
      <c r="M220" t="s">
        <v>55</v>
      </c>
      <c r="N220" t="s">
        <v>58</v>
      </c>
      <c r="O220" s="11">
        <v>1</v>
      </c>
      <c r="P220" t="s">
        <v>63</v>
      </c>
      <c r="Q220" s="29" t="s">
        <v>832</v>
      </c>
      <c r="R220" s="11">
        <v>10</v>
      </c>
      <c r="S220" t="s">
        <v>75</v>
      </c>
      <c r="T220" t="s">
        <v>63</v>
      </c>
      <c r="U220" s="29" t="s">
        <v>173</v>
      </c>
      <c r="V220" t="s">
        <v>173</v>
      </c>
      <c r="W220" t="s">
        <v>173</v>
      </c>
      <c r="X220" t="s">
        <v>173</v>
      </c>
      <c r="Y220" t="s">
        <v>62</v>
      </c>
      <c r="Z220" s="11">
        <v>21</v>
      </c>
      <c r="AA220" s="11">
        <v>4</v>
      </c>
      <c r="AB220" s="11">
        <v>0</v>
      </c>
      <c r="AC220" s="11">
        <f t="shared" si="29"/>
        <v>25</v>
      </c>
      <c r="AD220" s="11">
        <f t="shared" si="20"/>
        <v>7.5255869957856717E-3</v>
      </c>
      <c r="AE220" s="11">
        <f t="shared" si="21"/>
        <v>7.5255869957856714</v>
      </c>
      <c r="AF220" s="11">
        <f t="shared" si="22"/>
        <v>0.12040939193257075</v>
      </c>
      <c r="AG220" s="11">
        <f t="shared" si="27"/>
        <v>0</v>
      </c>
      <c r="AH220" s="11">
        <f t="shared" si="28"/>
        <v>0.19047619047619047</v>
      </c>
      <c r="AI220" t="s">
        <v>63</v>
      </c>
      <c r="AJ220" t="s">
        <v>62</v>
      </c>
      <c r="AK220" t="s">
        <v>1255</v>
      </c>
      <c r="AL220" s="11" t="s">
        <v>1256</v>
      </c>
      <c r="AM220" t="str">
        <f t="shared" si="38"/>
        <v>Thursday</v>
      </c>
      <c r="AN220" t="s">
        <v>63</v>
      </c>
      <c r="AO220" s="31"/>
      <c r="AP220" s="31"/>
      <c r="AQ220" t="s">
        <v>63</v>
      </c>
      <c r="AR220" s="11">
        <f t="shared" si="26"/>
        <v>1.0134282261313281</v>
      </c>
    </row>
    <row r="221" spans="1:44" x14ac:dyDescent="0.3">
      <c r="A221" s="27" t="s">
        <v>1056</v>
      </c>
      <c r="B221" s="30"/>
      <c r="C221" s="22">
        <v>1</v>
      </c>
      <c r="D221" s="19">
        <v>3322</v>
      </c>
      <c r="E221" s="8" t="s">
        <v>42</v>
      </c>
      <c r="F221" t="s">
        <v>1246</v>
      </c>
      <c r="G221">
        <v>4</v>
      </c>
      <c r="H221" s="13" t="s">
        <v>47</v>
      </c>
      <c r="I221" s="17">
        <v>46016</v>
      </c>
      <c r="J221" s="2" t="s">
        <v>48</v>
      </c>
      <c r="K221" s="19">
        <f t="shared" ca="1" si="34"/>
        <v>13</v>
      </c>
      <c r="L221" t="s">
        <v>1257</v>
      </c>
      <c r="M221" t="s">
        <v>1258</v>
      </c>
      <c r="N221" t="s">
        <v>58</v>
      </c>
      <c r="O221" s="11">
        <v>1</v>
      </c>
      <c r="P221" t="s">
        <v>63</v>
      </c>
      <c r="Q221" t="s">
        <v>1259</v>
      </c>
      <c r="R221" s="11">
        <v>8</v>
      </c>
      <c r="S221" t="s">
        <v>75</v>
      </c>
      <c r="T221" t="s">
        <v>63</v>
      </c>
      <c r="U221" t="s">
        <v>276</v>
      </c>
      <c r="V221" t="s">
        <v>141</v>
      </c>
      <c r="W221" t="s">
        <v>76</v>
      </c>
      <c r="X221" t="s">
        <v>1260</v>
      </c>
      <c r="Y221" t="s">
        <v>63</v>
      </c>
      <c r="Z221" s="11">
        <v>24</v>
      </c>
      <c r="AA221" s="11">
        <v>2</v>
      </c>
      <c r="AB221" s="11">
        <v>0</v>
      </c>
      <c r="AC221" s="11">
        <f t="shared" si="29"/>
        <v>26</v>
      </c>
      <c r="AD221" s="11">
        <f t="shared" si="20"/>
        <v>7.826610475617099E-3</v>
      </c>
      <c r="AE221" s="11">
        <f t="shared" si="21"/>
        <v>7.8266104756170991</v>
      </c>
      <c r="AF221" s="11">
        <f t="shared" si="22"/>
        <v>6.0204695966285374E-2</v>
      </c>
      <c r="AG221" s="11">
        <f t="shared" si="27"/>
        <v>0</v>
      </c>
      <c r="AH221" s="11">
        <f t="shared" si="28"/>
        <v>8.3333333333333329E-2</v>
      </c>
      <c r="AI221" t="s">
        <v>63</v>
      </c>
      <c r="AJ221" t="s">
        <v>62</v>
      </c>
      <c r="AK221" t="s">
        <v>1261</v>
      </c>
      <c r="AL221" t="s">
        <v>192</v>
      </c>
      <c r="AM221" t="str">
        <f>TEXT(I222,"dddd")</f>
        <v>Thursday</v>
      </c>
      <c r="AN221" t="s">
        <v>63</v>
      </c>
      <c r="AO221" s="31"/>
      <c r="AP221" s="31"/>
      <c r="AQ221" t="s">
        <v>63</v>
      </c>
      <c r="AR221" s="11">
        <f t="shared" si="26"/>
        <v>1.0139653551765813</v>
      </c>
    </row>
    <row r="222" spans="1:44" x14ac:dyDescent="0.3">
      <c r="A222" s="27" t="s">
        <v>1280</v>
      </c>
      <c r="B222" s="30" t="s">
        <v>1281</v>
      </c>
      <c r="C222" s="22">
        <v>10</v>
      </c>
      <c r="D222" s="19">
        <v>16566</v>
      </c>
      <c r="E222" s="8" t="s">
        <v>42</v>
      </c>
      <c r="F222" t="s">
        <v>1282</v>
      </c>
      <c r="G222">
        <v>1</v>
      </c>
      <c r="H222" s="13" t="s">
        <v>47</v>
      </c>
      <c r="I222" s="17">
        <v>46023</v>
      </c>
      <c r="J222" s="2" t="s">
        <v>48</v>
      </c>
      <c r="K222" s="19">
        <f t="shared" ca="1" si="34"/>
        <v>6</v>
      </c>
      <c r="L222" t="s">
        <v>52</v>
      </c>
      <c r="M222" t="s">
        <v>166</v>
      </c>
      <c r="N222" t="s">
        <v>58</v>
      </c>
      <c r="O222" s="11">
        <v>3</v>
      </c>
      <c r="P222" t="s">
        <v>63</v>
      </c>
      <c r="Q222" t="s">
        <v>1285</v>
      </c>
      <c r="R222" s="11">
        <v>16</v>
      </c>
      <c r="S222" t="s">
        <v>61</v>
      </c>
      <c r="T222" t="s">
        <v>63</v>
      </c>
      <c r="U222" t="s">
        <v>1286</v>
      </c>
      <c r="V222" t="s">
        <v>141</v>
      </c>
      <c r="W222" t="s">
        <v>76</v>
      </c>
      <c r="X222" t="s">
        <v>1260</v>
      </c>
      <c r="Y222" t="s">
        <v>62</v>
      </c>
      <c r="Z222" s="11">
        <v>10</v>
      </c>
      <c r="AA222" s="11">
        <v>1</v>
      </c>
      <c r="AB222" s="11">
        <v>0</v>
      </c>
      <c r="AC222" s="11">
        <f t="shared" si="29"/>
        <v>11</v>
      </c>
      <c r="AD222" s="11">
        <f t="shared" si="20"/>
        <v>6.6401062416998667E-4</v>
      </c>
      <c r="AE222" s="11">
        <f t="shared" si="21"/>
        <v>0.66401062416998669</v>
      </c>
      <c r="AF222" s="11">
        <f t="shared" si="22"/>
        <v>6.0364602197271518E-3</v>
      </c>
      <c r="AG222" s="11">
        <f t="shared" si="27"/>
        <v>0</v>
      </c>
      <c r="AH222" s="11">
        <f t="shared" si="28"/>
        <v>0.1</v>
      </c>
      <c r="AI222" t="s">
        <v>63</v>
      </c>
      <c r="AJ222" t="s">
        <v>63</v>
      </c>
      <c r="AK222" t="s">
        <v>1287</v>
      </c>
      <c r="AL222" t="s">
        <v>1288</v>
      </c>
      <c r="AM222" t="str">
        <f t="shared" ref="AM222:AM232" si="39">TEXT(I223,"dddd")</f>
        <v>Thursday</v>
      </c>
      <c r="AN222" t="s">
        <v>62</v>
      </c>
      <c r="AO222" s="31" t="s">
        <v>1317</v>
      </c>
      <c r="AP222" s="31" t="s">
        <v>52</v>
      </c>
      <c r="AQ222" t="s">
        <v>62</v>
      </c>
      <c r="AR222" s="11">
        <f t="shared" si="26"/>
        <v>1.0059084194977843</v>
      </c>
    </row>
    <row r="223" spans="1:44" x14ac:dyDescent="0.3">
      <c r="A223" s="27" t="s">
        <v>1280</v>
      </c>
      <c r="B223" s="30"/>
      <c r="C223" s="22">
        <v>10</v>
      </c>
      <c r="D223" s="19">
        <v>16566</v>
      </c>
      <c r="E223" s="8" t="s">
        <v>42</v>
      </c>
      <c r="F223" t="s">
        <v>365</v>
      </c>
      <c r="G223">
        <v>2</v>
      </c>
      <c r="H223" s="13" t="s">
        <v>47</v>
      </c>
      <c r="I223" s="17">
        <v>46023</v>
      </c>
      <c r="J223" s="2" t="s">
        <v>48</v>
      </c>
      <c r="K223" s="19">
        <f t="shared" ca="1" si="34"/>
        <v>6</v>
      </c>
      <c r="L223" t="s">
        <v>55</v>
      </c>
      <c r="M223" t="s">
        <v>286</v>
      </c>
      <c r="N223" t="s">
        <v>57</v>
      </c>
      <c r="O223" s="11">
        <v>1</v>
      </c>
      <c r="P223" t="s">
        <v>63</v>
      </c>
      <c r="Q223" t="s">
        <v>1289</v>
      </c>
      <c r="R223" s="11">
        <v>15</v>
      </c>
      <c r="S223" t="s">
        <v>99</v>
      </c>
      <c r="T223" t="s">
        <v>63</v>
      </c>
      <c r="U223" t="s">
        <v>1290</v>
      </c>
      <c r="V223" t="s">
        <v>141</v>
      </c>
      <c r="W223" t="s">
        <v>76</v>
      </c>
      <c r="X223" s="29" t="s">
        <v>1291</v>
      </c>
      <c r="Y223" t="s">
        <v>62</v>
      </c>
      <c r="Z223" s="11">
        <v>37</v>
      </c>
      <c r="AA223" s="11">
        <v>2</v>
      </c>
      <c r="AB223" s="11">
        <v>9</v>
      </c>
      <c r="AC223" s="11">
        <f t="shared" si="29"/>
        <v>48</v>
      </c>
      <c r="AD223" s="11">
        <f t="shared" si="20"/>
        <v>2.897500905469033E-3</v>
      </c>
      <c r="AE223" s="11">
        <f t="shared" si="21"/>
        <v>2.8975009054690331</v>
      </c>
      <c r="AF223" s="11">
        <f t="shared" si="22"/>
        <v>1.2072920439454304E-2</v>
      </c>
      <c r="AG223" s="11">
        <f t="shared" si="27"/>
        <v>5.4328141977544361E-2</v>
      </c>
      <c r="AH223" s="11">
        <f t="shared" si="28"/>
        <v>5.4054054054054057E-2</v>
      </c>
      <c r="AI223" t="s">
        <v>62</v>
      </c>
      <c r="AJ223" t="s">
        <v>63</v>
      </c>
      <c r="AK223" t="s">
        <v>1292</v>
      </c>
      <c r="AL223" t="s">
        <v>1288</v>
      </c>
      <c r="AM223" t="str">
        <f t="shared" si="39"/>
        <v>Wednesday</v>
      </c>
      <c r="AN223" t="s">
        <v>62</v>
      </c>
      <c r="AO223" s="31"/>
      <c r="AP223" s="31"/>
      <c r="AQ223" t="s">
        <v>62</v>
      </c>
      <c r="AR223" s="11">
        <f t="shared" si="26"/>
        <v>1.0257821941721499</v>
      </c>
    </row>
    <row r="224" spans="1:44" x14ac:dyDescent="0.3">
      <c r="A224" s="27" t="s">
        <v>1280</v>
      </c>
      <c r="B224" s="30"/>
      <c r="C224" s="22">
        <v>10</v>
      </c>
      <c r="D224" s="19">
        <v>16566</v>
      </c>
      <c r="E224" s="8" t="s">
        <v>42</v>
      </c>
      <c r="F224" t="s">
        <v>1283</v>
      </c>
      <c r="G224">
        <v>3</v>
      </c>
      <c r="H224" s="13" t="s">
        <v>47</v>
      </c>
      <c r="I224" s="17">
        <v>45966</v>
      </c>
      <c r="J224" s="2" t="s">
        <v>48</v>
      </c>
      <c r="K224" s="19">
        <f t="shared" ca="1" si="34"/>
        <v>63</v>
      </c>
      <c r="L224" t="s">
        <v>1188</v>
      </c>
      <c r="M224" t="s">
        <v>286</v>
      </c>
      <c r="N224" t="s">
        <v>57</v>
      </c>
      <c r="O224" s="11">
        <v>1</v>
      </c>
      <c r="P224" t="s">
        <v>63</v>
      </c>
      <c r="Q224" t="s">
        <v>1293</v>
      </c>
      <c r="R224" s="11">
        <v>17</v>
      </c>
      <c r="S224" t="s">
        <v>99</v>
      </c>
      <c r="T224" t="s">
        <v>62</v>
      </c>
      <c r="U224" t="s">
        <v>173</v>
      </c>
      <c r="V224" t="s">
        <v>173</v>
      </c>
      <c r="W224" t="s">
        <v>173</v>
      </c>
      <c r="X224" s="29" t="s">
        <v>173</v>
      </c>
      <c r="Y224" t="s">
        <v>62</v>
      </c>
      <c r="Z224" s="11">
        <v>119</v>
      </c>
      <c r="AA224" s="11">
        <v>53</v>
      </c>
      <c r="AB224" s="11">
        <v>5</v>
      </c>
      <c r="AC224" s="11">
        <f t="shared" si="29"/>
        <v>177</v>
      </c>
      <c r="AD224" s="11">
        <f t="shared" si="20"/>
        <v>1.0684534588917058E-2</v>
      </c>
      <c r="AE224" s="11">
        <f t="shared" si="21"/>
        <v>10.684534588917058</v>
      </c>
      <c r="AF224" s="11">
        <f t="shared" si="22"/>
        <v>0.31993239164553905</v>
      </c>
      <c r="AG224" s="11">
        <f t="shared" si="27"/>
        <v>3.0182301098635761E-2</v>
      </c>
      <c r="AH224" s="11">
        <f t="shared" si="28"/>
        <v>0.44537815126050423</v>
      </c>
      <c r="AI224" t="s">
        <v>63</v>
      </c>
      <c r="AJ224" t="s">
        <v>63</v>
      </c>
      <c r="AK224" t="s">
        <v>1294</v>
      </c>
      <c r="AL224" t="s">
        <v>1295</v>
      </c>
      <c r="AM224" t="str">
        <f t="shared" si="39"/>
        <v>Wednesday</v>
      </c>
      <c r="AN224" t="s">
        <v>62</v>
      </c>
      <c r="AO224" s="31"/>
      <c r="AP224" s="31"/>
      <c r="AQ224" t="s">
        <v>62</v>
      </c>
      <c r="AR224" s="11">
        <f t="shared" si="26"/>
        <v>1.0950718410098026</v>
      </c>
    </row>
    <row r="225" spans="1:44" x14ac:dyDescent="0.3">
      <c r="A225" s="27" t="s">
        <v>1280</v>
      </c>
      <c r="B225" s="30"/>
      <c r="C225" s="22">
        <v>10</v>
      </c>
      <c r="D225" s="19">
        <v>16566</v>
      </c>
      <c r="E225" s="8" t="s">
        <v>42</v>
      </c>
      <c r="F225" t="s">
        <v>1284</v>
      </c>
      <c r="G225">
        <v>4</v>
      </c>
      <c r="H225" s="13" t="s">
        <v>47</v>
      </c>
      <c r="I225" s="17">
        <v>45966</v>
      </c>
      <c r="J225" s="2" t="s">
        <v>48</v>
      </c>
      <c r="K225" s="19">
        <f t="shared" ca="1" si="34"/>
        <v>63</v>
      </c>
      <c r="L225" t="s">
        <v>54</v>
      </c>
      <c r="M225" t="s">
        <v>286</v>
      </c>
      <c r="N225" t="s">
        <v>58</v>
      </c>
      <c r="O225" s="11">
        <v>3</v>
      </c>
      <c r="P225" t="s">
        <v>63</v>
      </c>
      <c r="Q225" t="s">
        <v>1296</v>
      </c>
      <c r="R225" s="11">
        <v>18</v>
      </c>
      <c r="S225" t="s">
        <v>61</v>
      </c>
      <c r="T225" t="s">
        <v>62</v>
      </c>
      <c r="U225" t="s">
        <v>173</v>
      </c>
      <c r="V225" t="s">
        <v>173</v>
      </c>
      <c r="W225" t="s">
        <v>173</v>
      </c>
      <c r="X225" t="s">
        <v>173</v>
      </c>
      <c r="Y225" t="s">
        <v>62</v>
      </c>
      <c r="Z225" s="11">
        <v>47</v>
      </c>
      <c r="AA225" s="11">
        <v>2</v>
      </c>
      <c r="AB225" s="11">
        <v>2</v>
      </c>
      <c r="AC225" s="11">
        <f>Z225+AA225+AB225</f>
        <v>51</v>
      </c>
      <c r="AD225" s="11">
        <f xml:space="preserve"> (AC225 / D225)</f>
        <v>3.0785947120608474E-3</v>
      </c>
      <c r="AE225" s="11">
        <f>(AC225/D225)*1000</f>
        <v>3.0785947120608474</v>
      </c>
      <c r="AF225" s="11">
        <f>(AA225/D225)*100</f>
        <v>1.2072920439454304E-2</v>
      </c>
      <c r="AG225" s="11">
        <f>(AB225/D225)*100</f>
        <v>1.2072920439454304E-2</v>
      </c>
      <c r="AH225" s="11">
        <f>IF(Z225=0,0,AA225/Z225)</f>
        <v>4.2553191489361701E-2</v>
      </c>
      <c r="AI225" t="s">
        <v>63</v>
      </c>
      <c r="AJ225" t="s">
        <v>63</v>
      </c>
      <c r="AK225" t="s">
        <v>1297</v>
      </c>
      <c r="AL225" s="11" t="s">
        <v>71</v>
      </c>
      <c r="AM225" t="str">
        <f t="shared" si="39"/>
        <v>Monday</v>
      </c>
      <c r="AN225" t="s">
        <v>62</v>
      </c>
      <c r="AO225" s="31"/>
      <c r="AP225" s="31"/>
      <c r="AQ225" t="s">
        <v>62</v>
      </c>
      <c r="AR225" s="11">
        <f>1 + 4*((AC225 - MIN($AC$2:$AC$100)) / (MAX($AC$2:$AC$100) - MIN($AC$2:$AC$100)))</f>
        <v>1.0273935813079091</v>
      </c>
    </row>
    <row r="226" spans="1:44" x14ac:dyDescent="0.3">
      <c r="A226" s="27" t="s">
        <v>1057</v>
      </c>
      <c r="B226" s="30" t="s">
        <v>1079</v>
      </c>
      <c r="C226" s="22">
        <v>10</v>
      </c>
      <c r="D226" s="19">
        <v>75978</v>
      </c>
      <c r="E226" s="8" t="s">
        <v>42</v>
      </c>
      <c r="F226" t="s">
        <v>1262</v>
      </c>
      <c r="G226">
        <v>1</v>
      </c>
      <c r="H226" s="13" t="s">
        <v>47</v>
      </c>
      <c r="I226" s="17">
        <v>46027</v>
      </c>
      <c r="J226" t="s">
        <v>48</v>
      </c>
      <c r="K226" s="19">
        <f t="shared" ca="1" si="34"/>
        <v>2</v>
      </c>
      <c r="L226" t="s">
        <v>52</v>
      </c>
      <c r="M226" s="29" t="s">
        <v>286</v>
      </c>
      <c r="N226" t="s">
        <v>58</v>
      </c>
      <c r="O226" s="11">
        <v>2</v>
      </c>
      <c r="P226" t="s">
        <v>63</v>
      </c>
      <c r="Q226" t="s">
        <v>1259</v>
      </c>
      <c r="R226" s="11">
        <v>10</v>
      </c>
      <c r="S226" t="s">
        <v>75</v>
      </c>
      <c r="T226" t="s">
        <v>63</v>
      </c>
      <c r="U226" t="s">
        <v>859</v>
      </c>
      <c r="V226" t="s">
        <v>141</v>
      </c>
      <c r="W226" t="s">
        <v>76</v>
      </c>
      <c r="X226" t="s">
        <v>1266</v>
      </c>
      <c r="Y226" t="s">
        <v>62</v>
      </c>
      <c r="Z226" s="11">
        <v>8</v>
      </c>
      <c r="AA226" s="11">
        <v>6</v>
      </c>
      <c r="AB226" s="11">
        <v>0</v>
      </c>
      <c r="AC226" s="11">
        <f t="shared" ref="AC226:AC253" si="40">Z226+AA226+AB226</f>
        <v>14</v>
      </c>
      <c r="AD226" s="11">
        <f t="shared" ref="AD226:AD277" si="41" xml:space="preserve"> (AC226 / D226)</f>
        <v>1.8426386585590566E-4</v>
      </c>
      <c r="AE226" s="11">
        <f t="shared" ref="AE226:AE277" si="42">(AC226/D226)*1000</f>
        <v>0.18426386585590565</v>
      </c>
      <c r="AF226" s="11">
        <f t="shared" ref="AF226:AF277" si="43">(AA226/D226)*100</f>
        <v>7.897022822395957E-3</v>
      </c>
      <c r="AG226" s="11">
        <f t="shared" ref="AG226:AG277" si="44">(AB226/D226)*100</f>
        <v>0</v>
      </c>
      <c r="AH226" s="11">
        <f t="shared" ref="AH226:AH277" si="45">IF(Z226=0,0,AA226/Z226)</f>
        <v>0.75</v>
      </c>
      <c r="AI226" t="s">
        <v>63</v>
      </c>
      <c r="AJ226" t="s">
        <v>63</v>
      </c>
      <c r="AK226" s="29" t="s">
        <v>1267</v>
      </c>
      <c r="AL226" s="11" t="s">
        <v>250</v>
      </c>
      <c r="AM226" t="str">
        <f t="shared" si="39"/>
        <v>Thursday</v>
      </c>
      <c r="AN226" t="s">
        <v>62</v>
      </c>
      <c r="AO226" s="31" t="s">
        <v>1318</v>
      </c>
      <c r="AP226" s="31" t="s">
        <v>52</v>
      </c>
      <c r="AQ226" t="s">
        <v>63</v>
      </c>
      <c r="AR226" s="11">
        <f t="shared" ref="AR226:AR253" si="46">1 + 4*((AC226 - MIN($AC$2:$AC$100)) / (MAX($AC$2:$AC$100) - MIN($AC$2:$AC$100)))</f>
        <v>1.0075198066335438</v>
      </c>
    </row>
    <row r="227" spans="1:44" x14ac:dyDescent="0.3">
      <c r="A227" s="27" t="s">
        <v>1057</v>
      </c>
      <c r="B227" s="30"/>
      <c r="C227" s="22">
        <v>10</v>
      </c>
      <c r="D227" s="19">
        <v>75978</v>
      </c>
      <c r="E227" s="8" t="s">
        <v>42</v>
      </c>
      <c r="F227" t="s">
        <v>1263</v>
      </c>
      <c r="G227">
        <v>2</v>
      </c>
      <c r="H227" s="13" t="s">
        <v>47</v>
      </c>
      <c r="I227" s="17">
        <v>46009</v>
      </c>
      <c r="J227" t="s">
        <v>48</v>
      </c>
      <c r="K227" s="19">
        <f t="shared" ca="1" si="34"/>
        <v>20</v>
      </c>
      <c r="L227" t="s">
        <v>166</v>
      </c>
      <c r="M227" t="s">
        <v>1268</v>
      </c>
      <c r="N227" t="s">
        <v>58</v>
      </c>
      <c r="O227" s="11">
        <v>2</v>
      </c>
      <c r="P227" t="s">
        <v>63</v>
      </c>
      <c r="Q227" t="s">
        <v>1269</v>
      </c>
      <c r="R227" s="11">
        <v>17</v>
      </c>
      <c r="S227" t="s">
        <v>61</v>
      </c>
      <c r="T227" t="s">
        <v>63</v>
      </c>
      <c r="U227" t="s">
        <v>78</v>
      </c>
      <c r="V227" t="s">
        <v>141</v>
      </c>
      <c r="W227" t="s">
        <v>76</v>
      </c>
      <c r="X227" t="s">
        <v>78</v>
      </c>
      <c r="Y227" t="s">
        <v>63</v>
      </c>
      <c r="Z227" s="11">
        <v>232</v>
      </c>
      <c r="AA227" s="11">
        <v>79</v>
      </c>
      <c r="AB227" s="11">
        <v>4</v>
      </c>
      <c r="AC227" s="11">
        <f t="shared" si="40"/>
        <v>315</v>
      </c>
      <c r="AD227" s="11">
        <f t="shared" si="41"/>
        <v>4.1459369817578775E-3</v>
      </c>
      <c r="AE227" s="11">
        <f t="shared" si="42"/>
        <v>4.1459369817578775</v>
      </c>
      <c r="AF227" s="11">
        <f t="shared" si="43"/>
        <v>0.10397746716154677</v>
      </c>
      <c r="AG227" s="11">
        <f t="shared" si="44"/>
        <v>5.2646818815973041E-3</v>
      </c>
      <c r="AH227" s="11">
        <f t="shared" si="45"/>
        <v>0.34051724137931033</v>
      </c>
      <c r="AI227" t="s">
        <v>62</v>
      </c>
      <c r="AJ227" t="s">
        <v>62</v>
      </c>
      <c r="AK227" t="s">
        <v>805</v>
      </c>
      <c r="AL227" s="11" t="s">
        <v>71</v>
      </c>
      <c r="AM227" t="str">
        <f t="shared" si="39"/>
        <v>Tuesday</v>
      </c>
      <c r="AN227" t="s">
        <v>62</v>
      </c>
      <c r="AO227" s="31"/>
      <c r="AP227" s="31"/>
      <c r="AQ227" t="s">
        <v>63</v>
      </c>
      <c r="AR227" s="11">
        <f t="shared" si="46"/>
        <v>1.1691956492547335</v>
      </c>
    </row>
    <row r="228" spans="1:44" x14ac:dyDescent="0.3">
      <c r="A228" s="27" t="s">
        <v>1057</v>
      </c>
      <c r="B228" s="30"/>
      <c r="C228" s="22">
        <v>10</v>
      </c>
      <c r="D228" s="19">
        <v>75978</v>
      </c>
      <c r="E228" s="8" t="s">
        <v>42</v>
      </c>
      <c r="F228" t="s">
        <v>1264</v>
      </c>
      <c r="G228">
        <v>3</v>
      </c>
      <c r="H228" s="13" t="s">
        <v>47</v>
      </c>
      <c r="I228" s="17">
        <v>46021</v>
      </c>
      <c r="J228" t="s">
        <v>48</v>
      </c>
      <c r="K228" s="19">
        <f t="shared" ca="1" si="34"/>
        <v>8</v>
      </c>
      <c r="L228" t="s">
        <v>1270</v>
      </c>
      <c r="M228" t="s">
        <v>401</v>
      </c>
      <c r="N228" t="s">
        <v>58</v>
      </c>
      <c r="O228" s="11">
        <v>5</v>
      </c>
      <c r="P228" t="s">
        <v>63</v>
      </c>
      <c r="Q228" t="s">
        <v>1271</v>
      </c>
      <c r="R228" s="11">
        <v>12</v>
      </c>
      <c r="S228" t="s">
        <v>75</v>
      </c>
      <c r="T228" t="s">
        <v>63</v>
      </c>
      <c r="U228" t="s">
        <v>859</v>
      </c>
      <c r="V228" t="s">
        <v>141</v>
      </c>
      <c r="W228" t="s">
        <v>76</v>
      </c>
      <c r="X228" t="s">
        <v>78</v>
      </c>
      <c r="Y228" t="s">
        <v>62</v>
      </c>
      <c r="Z228" s="11">
        <v>163</v>
      </c>
      <c r="AA228" s="11">
        <v>51</v>
      </c>
      <c r="AB228" s="11">
        <v>2</v>
      </c>
      <c r="AC228" s="11">
        <f t="shared" si="40"/>
        <v>216</v>
      </c>
      <c r="AD228" s="11">
        <f t="shared" si="41"/>
        <v>2.8429282160625444E-3</v>
      </c>
      <c r="AE228" s="11">
        <f t="shared" si="42"/>
        <v>2.8429282160625444</v>
      </c>
      <c r="AF228" s="11">
        <f t="shared" si="43"/>
        <v>6.7124693990365636E-2</v>
      </c>
      <c r="AG228" s="11">
        <f t="shared" si="44"/>
        <v>2.632340940798652E-3</v>
      </c>
      <c r="AH228" s="11">
        <f t="shared" si="45"/>
        <v>0.31288343558282211</v>
      </c>
      <c r="AI228" t="s">
        <v>63</v>
      </c>
      <c r="AJ228" t="s">
        <v>63</v>
      </c>
      <c r="AK228" t="s">
        <v>1272</v>
      </c>
      <c r="AL228" t="s">
        <v>1273</v>
      </c>
      <c r="AM228" t="str">
        <f t="shared" si="39"/>
        <v>Tuesday</v>
      </c>
      <c r="AN228" t="s">
        <v>62</v>
      </c>
      <c r="AO228" s="31"/>
      <c r="AP228" s="31"/>
      <c r="AQ228" t="s">
        <v>63</v>
      </c>
      <c r="AR228" s="11">
        <f t="shared" si="46"/>
        <v>1.1160198737746743</v>
      </c>
    </row>
    <row r="229" spans="1:44" x14ac:dyDescent="0.3">
      <c r="A229" s="27" t="s">
        <v>1057</v>
      </c>
      <c r="B229" s="30"/>
      <c r="C229" s="22">
        <v>10</v>
      </c>
      <c r="D229" s="19">
        <v>75978</v>
      </c>
      <c r="E229" s="8" t="s">
        <v>42</v>
      </c>
      <c r="F229" t="s">
        <v>1265</v>
      </c>
      <c r="G229">
        <v>4</v>
      </c>
      <c r="H229" s="13" t="s">
        <v>47</v>
      </c>
      <c r="I229" s="17">
        <v>46021</v>
      </c>
      <c r="J229" t="s">
        <v>48</v>
      </c>
      <c r="K229" s="19">
        <f t="shared" ca="1" si="34"/>
        <v>8</v>
      </c>
      <c r="L229" s="29" t="s">
        <v>1188</v>
      </c>
      <c r="M229" t="s">
        <v>1274</v>
      </c>
      <c r="N229" t="s">
        <v>58</v>
      </c>
      <c r="O229" s="11">
        <v>3</v>
      </c>
      <c r="P229" t="s">
        <v>63</v>
      </c>
      <c r="Q229" t="s">
        <v>1275</v>
      </c>
      <c r="R229" s="11">
        <v>10</v>
      </c>
      <c r="S229" t="s">
        <v>75</v>
      </c>
      <c r="T229" t="s">
        <v>63</v>
      </c>
      <c r="U229" t="s">
        <v>1276</v>
      </c>
      <c r="V229" t="s">
        <v>141</v>
      </c>
      <c r="W229" t="s">
        <v>1277</v>
      </c>
      <c r="X229" t="s">
        <v>1152</v>
      </c>
      <c r="Y229" t="s">
        <v>63</v>
      </c>
      <c r="Z229" s="11">
        <v>159</v>
      </c>
      <c r="AA229" s="11">
        <v>84</v>
      </c>
      <c r="AB229" s="11">
        <v>3</v>
      </c>
      <c r="AC229" s="11">
        <f t="shared" si="40"/>
        <v>246</v>
      </c>
      <c r="AD229" s="11">
        <f t="shared" si="41"/>
        <v>3.2377793571823424E-3</v>
      </c>
      <c r="AE229" s="11">
        <f t="shared" si="42"/>
        <v>3.2377793571823426</v>
      </c>
      <c r="AF229" s="11">
        <f t="shared" si="43"/>
        <v>0.11055831951354339</v>
      </c>
      <c r="AG229" s="11">
        <f t="shared" si="44"/>
        <v>3.9485114111979785E-3</v>
      </c>
      <c r="AH229" s="11">
        <f t="shared" si="45"/>
        <v>0.52830188679245282</v>
      </c>
      <c r="AI229" t="s">
        <v>63</v>
      </c>
      <c r="AJ229" t="s">
        <v>63</v>
      </c>
      <c r="AK229" t="s">
        <v>1278</v>
      </c>
      <c r="AL229" t="s">
        <v>1279</v>
      </c>
      <c r="AM229" t="str">
        <f t="shared" si="39"/>
        <v>Wednesday</v>
      </c>
      <c r="AN229" t="s">
        <v>62</v>
      </c>
      <c r="AO229" s="31"/>
      <c r="AP229" s="31"/>
      <c r="AQ229" t="s">
        <v>63</v>
      </c>
      <c r="AR229" s="11">
        <f t="shared" si="46"/>
        <v>1.1321337451322679</v>
      </c>
    </row>
    <row r="230" spans="1:44" x14ac:dyDescent="0.3">
      <c r="A230" s="27" t="s">
        <v>1058</v>
      </c>
      <c r="B230" s="30" t="s">
        <v>1080</v>
      </c>
      <c r="C230" s="22">
        <v>1</v>
      </c>
      <c r="D230" s="19">
        <v>5731</v>
      </c>
      <c r="E230" s="8" t="s">
        <v>42</v>
      </c>
      <c r="F230" t="s">
        <v>1282</v>
      </c>
      <c r="G230">
        <v>1</v>
      </c>
      <c r="H230" s="13" t="s">
        <v>47</v>
      </c>
      <c r="I230" s="17">
        <v>45966</v>
      </c>
      <c r="J230" t="s">
        <v>48</v>
      </c>
      <c r="K230" s="19">
        <f t="shared" ca="1" si="34"/>
        <v>63</v>
      </c>
      <c r="L230" t="s">
        <v>1301</v>
      </c>
      <c r="M230" t="s">
        <v>1302</v>
      </c>
      <c r="N230" t="s">
        <v>58</v>
      </c>
      <c r="O230" s="11">
        <v>5</v>
      </c>
      <c r="P230" t="s">
        <v>63</v>
      </c>
      <c r="Q230" t="s">
        <v>1303</v>
      </c>
      <c r="R230" s="11">
        <v>7</v>
      </c>
      <c r="S230" t="s">
        <v>99</v>
      </c>
      <c r="T230" t="s">
        <v>62</v>
      </c>
      <c r="U230" t="s">
        <v>173</v>
      </c>
      <c r="V230" t="s">
        <v>173</v>
      </c>
      <c r="W230" t="s">
        <v>173</v>
      </c>
      <c r="X230" t="s">
        <v>173</v>
      </c>
      <c r="Y230" t="s">
        <v>62</v>
      </c>
      <c r="Z230" s="11">
        <v>72</v>
      </c>
      <c r="AA230" s="11">
        <v>0</v>
      </c>
      <c r="AB230" s="11">
        <v>0</v>
      </c>
      <c r="AC230" s="11">
        <f t="shared" si="40"/>
        <v>72</v>
      </c>
      <c r="AD230" s="11">
        <f t="shared" si="41"/>
        <v>1.2563252486477055E-2</v>
      </c>
      <c r="AE230" s="11">
        <f t="shared" si="42"/>
        <v>12.563252486477055</v>
      </c>
      <c r="AF230" s="11">
        <f t="shared" si="43"/>
        <v>0</v>
      </c>
      <c r="AG230" s="11">
        <f t="shared" si="44"/>
        <v>0</v>
      </c>
      <c r="AH230" s="11">
        <f t="shared" si="45"/>
        <v>0</v>
      </c>
      <c r="AI230" t="s">
        <v>62</v>
      </c>
      <c r="AJ230" t="s">
        <v>62</v>
      </c>
      <c r="AK230" t="s">
        <v>1304</v>
      </c>
      <c r="AL230" s="29" t="s">
        <v>1305</v>
      </c>
      <c r="AM230" t="str">
        <f t="shared" si="39"/>
        <v>Sunday</v>
      </c>
      <c r="AN230" t="s">
        <v>62</v>
      </c>
      <c r="AO230" s="31" t="s">
        <v>1310</v>
      </c>
      <c r="AP230" s="31" t="s">
        <v>1306</v>
      </c>
      <c r="AQ230" t="s">
        <v>63</v>
      </c>
      <c r="AR230" s="11">
        <f t="shared" si="46"/>
        <v>1.0386732912582248</v>
      </c>
    </row>
    <row r="231" spans="1:44" x14ac:dyDescent="0.3">
      <c r="A231" s="27" t="s">
        <v>1058</v>
      </c>
      <c r="B231" s="30"/>
      <c r="C231" s="22">
        <v>1</v>
      </c>
      <c r="D231" s="19">
        <v>5731</v>
      </c>
      <c r="E231" s="8" t="s">
        <v>42</v>
      </c>
      <c r="F231" t="s">
        <v>1298</v>
      </c>
      <c r="G231">
        <v>2</v>
      </c>
      <c r="H231" s="13" t="s">
        <v>47</v>
      </c>
      <c r="I231" s="17">
        <v>45935</v>
      </c>
      <c r="J231" t="s">
        <v>48</v>
      </c>
      <c r="K231" s="19">
        <f t="shared" ca="1" si="34"/>
        <v>94</v>
      </c>
      <c r="L231" t="s">
        <v>1306</v>
      </c>
      <c r="M231" t="s">
        <v>71</v>
      </c>
      <c r="N231" t="s">
        <v>58</v>
      </c>
      <c r="O231" s="11">
        <v>1</v>
      </c>
      <c r="P231" t="s">
        <v>63</v>
      </c>
      <c r="Q231" t="s">
        <v>1307</v>
      </c>
      <c r="R231" s="11">
        <v>10</v>
      </c>
      <c r="S231" t="s">
        <v>61</v>
      </c>
      <c r="T231" t="s">
        <v>62</v>
      </c>
      <c r="U231" t="s">
        <v>173</v>
      </c>
      <c r="V231" t="s">
        <v>173</v>
      </c>
      <c r="W231" t="s">
        <v>173</v>
      </c>
      <c r="X231" t="s">
        <v>173</v>
      </c>
      <c r="Y231" t="s">
        <v>62</v>
      </c>
      <c r="Z231" s="11">
        <v>36</v>
      </c>
      <c r="AA231" s="11">
        <v>2</v>
      </c>
      <c r="AB231" s="11">
        <v>0</v>
      </c>
      <c r="AC231" s="11">
        <f t="shared" si="40"/>
        <v>38</v>
      </c>
      <c r="AD231" s="11">
        <f t="shared" si="41"/>
        <v>6.6306054789740014E-3</v>
      </c>
      <c r="AE231" s="11">
        <f t="shared" si="42"/>
        <v>6.6306054789740019</v>
      </c>
      <c r="AF231" s="11">
        <f t="shared" si="43"/>
        <v>3.4897923573547374E-2</v>
      </c>
      <c r="AG231" s="11">
        <f t="shared" si="44"/>
        <v>0</v>
      </c>
      <c r="AH231" s="11">
        <f t="shared" si="45"/>
        <v>5.5555555555555552E-2</v>
      </c>
      <c r="AI231" t="s">
        <v>62</v>
      </c>
      <c r="AJ231" t="s">
        <v>63</v>
      </c>
      <c r="AK231" t="s">
        <v>1308</v>
      </c>
      <c r="AL231" s="29" t="s">
        <v>1309</v>
      </c>
      <c r="AM231" t="str">
        <f t="shared" si="39"/>
        <v>Sunday</v>
      </c>
      <c r="AN231" t="s">
        <v>62</v>
      </c>
      <c r="AO231" s="31"/>
      <c r="AP231" s="31"/>
      <c r="AQ231" t="s">
        <v>63</v>
      </c>
      <c r="AR231" s="11">
        <f t="shared" si="46"/>
        <v>1.0204109037196187</v>
      </c>
    </row>
    <row r="232" spans="1:44" x14ac:dyDescent="0.3">
      <c r="A232" s="27" t="s">
        <v>1058</v>
      </c>
      <c r="B232" s="30"/>
      <c r="C232" s="22">
        <v>1</v>
      </c>
      <c r="D232" s="19">
        <v>5731</v>
      </c>
      <c r="E232" s="8" t="s">
        <v>42</v>
      </c>
      <c r="F232" t="s">
        <v>1299</v>
      </c>
      <c r="G232">
        <v>3</v>
      </c>
      <c r="H232" s="13" t="s">
        <v>47</v>
      </c>
      <c r="I232" s="17">
        <v>45935</v>
      </c>
      <c r="J232" t="s">
        <v>48</v>
      </c>
      <c r="K232" s="19">
        <f t="shared" ca="1" si="34"/>
        <v>94</v>
      </c>
      <c r="L232" t="s">
        <v>1310</v>
      </c>
      <c r="M232" t="s">
        <v>1311</v>
      </c>
      <c r="N232" t="s">
        <v>58</v>
      </c>
      <c r="O232" s="11">
        <v>1</v>
      </c>
      <c r="P232" t="s">
        <v>63</v>
      </c>
      <c r="Q232" t="s">
        <v>1312</v>
      </c>
      <c r="R232" s="11">
        <v>16</v>
      </c>
      <c r="S232" t="s">
        <v>61</v>
      </c>
      <c r="T232" t="s">
        <v>62</v>
      </c>
      <c r="U232" t="s">
        <v>173</v>
      </c>
      <c r="V232" t="s">
        <v>173</v>
      </c>
      <c r="W232" t="s">
        <v>173</v>
      </c>
      <c r="X232" t="s">
        <v>173</v>
      </c>
      <c r="Y232" t="s">
        <v>62</v>
      </c>
      <c r="Z232" s="11">
        <v>113</v>
      </c>
      <c r="AA232" s="11">
        <v>1</v>
      </c>
      <c r="AB232" s="11">
        <v>0</v>
      </c>
      <c r="AC232" s="11">
        <f t="shared" si="40"/>
        <v>114</v>
      </c>
      <c r="AD232" s="11">
        <f t="shared" si="41"/>
        <v>1.9891816436922002E-2</v>
      </c>
      <c r="AE232" s="11">
        <f t="shared" si="42"/>
        <v>19.891816436922003</v>
      </c>
      <c r="AF232" s="11">
        <f t="shared" si="43"/>
        <v>1.7448961786773687E-2</v>
      </c>
      <c r="AG232" s="11">
        <f t="shared" si="44"/>
        <v>0</v>
      </c>
      <c r="AH232" s="11">
        <f t="shared" si="45"/>
        <v>8.8495575221238937E-3</v>
      </c>
      <c r="AI232" t="s">
        <v>63</v>
      </c>
      <c r="AJ232" t="s">
        <v>62</v>
      </c>
      <c r="AK232" t="s">
        <v>1313</v>
      </c>
      <c r="AL232" t="s">
        <v>1314</v>
      </c>
      <c r="AM232" t="str">
        <f t="shared" si="39"/>
        <v>Sunday</v>
      </c>
      <c r="AN232" t="s">
        <v>62</v>
      </c>
      <c r="AO232" s="31"/>
      <c r="AP232" s="31"/>
      <c r="AQ232" t="s">
        <v>63</v>
      </c>
      <c r="AR232" s="11">
        <f t="shared" si="46"/>
        <v>1.061232711158856</v>
      </c>
    </row>
    <row r="233" spans="1:44" x14ac:dyDescent="0.3">
      <c r="A233" s="27" t="s">
        <v>1058</v>
      </c>
      <c r="B233" s="30"/>
      <c r="C233" s="22">
        <v>1</v>
      </c>
      <c r="D233" s="19">
        <v>5731</v>
      </c>
      <c r="E233" s="8" t="s">
        <v>42</v>
      </c>
      <c r="F233" t="s">
        <v>1300</v>
      </c>
      <c r="G233">
        <v>4</v>
      </c>
      <c r="H233" s="13" t="s">
        <v>47</v>
      </c>
      <c r="I233" s="17">
        <v>45935</v>
      </c>
      <c r="J233" t="s">
        <v>48</v>
      </c>
      <c r="K233" s="19">
        <f t="shared" ca="1" si="34"/>
        <v>94</v>
      </c>
      <c r="L233" t="s">
        <v>832</v>
      </c>
      <c r="M233" s="29" t="s">
        <v>1315</v>
      </c>
      <c r="N233" t="s">
        <v>57</v>
      </c>
      <c r="O233" s="11">
        <v>1</v>
      </c>
      <c r="P233" t="s">
        <v>63</v>
      </c>
      <c r="Q233" t="s">
        <v>1307</v>
      </c>
      <c r="R233" s="11">
        <v>12</v>
      </c>
      <c r="S233" t="s">
        <v>61</v>
      </c>
      <c r="T233" t="s">
        <v>63</v>
      </c>
      <c r="U233" s="29" t="s">
        <v>78</v>
      </c>
      <c r="V233" t="s">
        <v>141</v>
      </c>
      <c r="W233" t="s">
        <v>76</v>
      </c>
      <c r="X233" t="s">
        <v>1316</v>
      </c>
      <c r="Y233" t="s">
        <v>63</v>
      </c>
      <c r="Z233" s="11">
        <v>76</v>
      </c>
      <c r="AA233" s="11">
        <v>12</v>
      </c>
      <c r="AB233" s="11">
        <v>0</v>
      </c>
      <c r="AC233" s="11">
        <f t="shared" si="40"/>
        <v>88</v>
      </c>
      <c r="AD233" s="11">
        <f t="shared" si="41"/>
        <v>1.5355086372360844E-2</v>
      </c>
      <c r="AE233" s="11">
        <f t="shared" si="42"/>
        <v>15.355086372360844</v>
      </c>
      <c r="AF233" s="11">
        <f t="shared" si="43"/>
        <v>0.20938754144128424</v>
      </c>
      <c r="AG233" s="11">
        <f t="shared" si="44"/>
        <v>0</v>
      </c>
      <c r="AH233" s="11">
        <f t="shared" si="45"/>
        <v>0.15789473684210525</v>
      </c>
      <c r="AI233" t="s">
        <v>63</v>
      </c>
      <c r="AJ233" t="s">
        <v>62</v>
      </c>
      <c r="AK233" t="s">
        <v>1313</v>
      </c>
      <c r="AL233" s="29" t="s">
        <v>1305</v>
      </c>
      <c r="AM233" t="str">
        <f>TEXT(I234,"dddd")</f>
        <v>Thursday</v>
      </c>
      <c r="AN233" t="s">
        <v>62</v>
      </c>
      <c r="AO233" s="31"/>
      <c r="AP233" s="31"/>
      <c r="AQ233" t="s">
        <v>63</v>
      </c>
      <c r="AR233" s="11">
        <f t="shared" si="46"/>
        <v>1.0472673559822747</v>
      </c>
    </row>
    <row r="234" spans="1:44" x14ac:dyDescent="0.3">
      <c r="A234" s="27" t="s">
        <v>1059</v>
      </c>
      <c r="B234" s="30" t="s">
        <v>1081</v>
      </c>
      <c r="C234" s="22">
        <v>1</v>
      </c>
      <c r="D234" s="19">
        <v>7124</v>
      </c>
      <c r="E234" s="8" t="s">
        <v>42</v>
      </c>
      <c r="F234" t="s">
        <v>1319</v>
      </c>
      <c r="G234">
        <v>1</v>
      </c>
      <c r="H234" s="13" t="s">
        <v>47</v>
      </c>
      <c r="I234" s="17">
        <v>45757</v>
      </c>
      <c r="J234" t="s">
        <v>48</v>
      </c>
      <c r="K234" s="19">
        <f t="shared" ca="1" si="34"/>
        <v>272</v>
      </c>
      <c r="L234" t="s">
        <v>55</v>
      </c>
      <c r="M234" s="29" t="s">
        <v>110</v>
      </c>
      <c r="N234" t="s">
        <v>58</v>
      </c>
      <c r="O234" s="11">
        <v>1</v>
      </c>
      <c r="P234" t="s">
        <v>63</v>
      </c>
      <c r="Q234" t="s">
        <v>444</v>
      </c>
      <c r="R234" s="11">
        <v>9</v>
      </c>
      <c r="S234" t="s">
        <v>61</v>
      </c>
      <c r="T234" t="s">
        <v>63</v>
      </c>
      <c r="U234" t="s">
        <v>1322</v>
      </c>
      <c r="V234" t="s">
        <v>141</v>
      </c>
      <c r="W234" t="s">
        <v>76</v>
      </c>
      <c r="X234" t="s">
        <v>1323</v>
      </c>
      <c r="Y234" t="s">
        <v>63</v>
      </c>
      <c r="Z234" s="11">
        <v>29</v>
      </c>
      <c r="AA234" s="11">
        <v>0</v>
      </c>
      <c r="AB234" s="11">
        <v>0</v>
      </c>
      <c r="AC234" s="11">
        <f t="shared" si="40"/>
        <v>29</v>
      </c>
      <c r="AD234" s="11">
        <f t="shared" si="41"/>
        <v>4.0707467714766986E-3</v>
      </c>
      <c r="AE234" s="11">
        <f t="shared" si="42"/>
        <v>4.0707467714766983</v>
      </c>
      <c r="AF234" s="11">
        <f t="shared" si="43"/>
        <v>0</v>
      </c>
      <c r="AG234" s="11">
        <f t="shared" si="44"/>
        <v>0</v>
      </c>
      <c r="AH234" s="11">
        <f t="shared" si="45"/>
        <v>0</v>
      </c>
      <c r="AI234" t="s">
        <v>63</v>
      </c>
      <c r="AJ234" t="s">
        <v>62</v>
      </c>
      <c r="AK234" t="s">
        <v>1324</v>
      </c>
      <c r="AL234" t="s">
        <v>105</v>
      </c>
      <c r="AM234" t="str">
        <f t="shared" ref="AM234:AM236" si="47">TEXT(I235,"dddd")</f>
        <v>Thursday</v>
      </c>
      <c r="AN234" t="s">
        <v>62</v>
      </c>
      <c r="AO234" s="31" t="s">
        <v>55</v>
      </c>
      <c r="AP234" s="31" t="s">
        <v>1329</v>
      </c>
      <c r="AQ234" t="s">
        <v>63</v>
      </c>
      <c r="AR234" s="11">
        <f t="shared" si="46"/>
        <v>1.0155767423123405</v>
      </c>
    </row>
    <row r="235" spans="1:44" x14ac:dyDescent="0.3">
      <c r="A235" s="27" t="s">
        <v>1059</v>
      </c>
      <c r="B235" s="30"/>
      <c r="C235" s="22">
        <v>1</v>
      </c>
      <c r="D235" s="19">
        <v>7124</v>
      </c>
      <c r="E235" s="8" t="s">
        <v>42</v>
      </c>
      <c r="F235" t="s">
        <v>1320</v>
      </c>
      <c r="G235">
        <v>2</v>
      </c>
      <c r="H235" s="13" t="s">
        <v>47</v>
      </c>
      <c r="I235" s="17">
        <v>45757</v>
      </c>
      <c r="J235" t="s">
        <v>48</v>
      </c>
      <c r="K235" s="19">
        <f t="shared" ca="1" si="34"/>
        <v>272</v>
      </c>
      <c r="L235" t="s">
        <v>55</v>
      </c>
      <c r="M235" s="29" t="s">
        <v>110</v>
      </c>
      <c r="N235" t="s">
        <v>58</v>
      </c>
      <c r="O235" s="11">
        <v>1</v>
      </c>
      <c r="P235" t="s">
        <v>63</v>
      </c>
      <c r="Q235" t="s">
        <v>444</v>
      </c>
      <c r="R235" s="11">
        <v>9</v>
      </c>
      <c r="S235" t="s">
        <v>61</v>
      </c>
      <c r="T235" t="s">
        <v>63</v>
      </c>
      <c r="U235" t="s">
        <v>1218</v>
      </c>
      <c r="V235" t="s">
        <v>141</v>
      </c>
      <c r="W235" t="s">
        <v>76</v>
      </c>
      <c r="X235" t="s">
        <v>1323</v>
      </c>
      <c r="Y235" t="s">
        <v>63</v>
      </c>
      <c r="Z235" s="11">
        <v>44</v>
      </c>
      <c r="AA235" s="11">
        <v>10</v>
      </c>
      <c r="AB235" s="11">
        <v>0</v>
      </c>
      <c r="AC235" s="11">
        <f t="shared" si="40"/>
        <v>54</v>
      </c>
      <c r="AD235" s="11">
        <f t="shared" si="41"/>
        <v>7.5800112296462658E-3</v>
      </c>
      <c r="AE235" s="11">
        <f t="shared" si="42"/>
        <v>7.5800112296462654</v>
      </c>
      <c r="AF235" s="11">
        <f t="shared" si="43"/>
        <v>0.14037057832678271</v>
      </c>
      <c r="AG235" s="11">
        <f t="shared" si="44"/>
        <v>0</v>
      </c>
      <c r="AH235" s="11">
        <f t="shared" si="45"/>
        <v>0.22727272727272727</v>
      </c>
      <c r="AI235" t="s">
        <v>63</v>
      </c>
      <c r="AJ235" t="s">
        <v>62</v>
      </c>
      <c r="AK235" t="s">
        <v>1325</v>
      </c>
      <c r="AL235" t="s">
        <v>81</v>
      </c>
      <c r="AM235" t="str">
        <f t="shared" si="47"/>
        <v>Thursday</v>
      </c>
      <c r="AN235" t="s">
        <v>62</v>
      </c>
      <c r="AO235" s="31"/>
      <c r="AP235" s="31"/>
      <c r="AQ235" t="s">
        <v>63</v>
      </c>
      <c r="AR235" s="11">
        <f t="shared" si="46"/>
        <v>1.0290049684436686</v>
      </c>
    </row>
    <row r="236" spans="1:44" x14ac:dyDescent="0.3">
      <c r="A236" s="27" t="s">
        <v>1059</v>
      </c>
      <c r="B236" s="30"/>
      <c r="C236" s="22">
        <v>1</v>
      </c>
      <c r="D236" s="19">
        <v>7124</v>
      </c>
      <c r="E236" s="8" t="s">
        <v>42</v>
      </c>
      <c r="F236" t="s">
        <v>1321</v>
      </c>
      <c r="G236">
        <v>3</v>
      </c>
      <c r="H236" s="13" t="s">
        <v>47</v>
      </c>
      <c r="I236" s="17">
        <v>45757</v>
      </c>
      <c r="J236" t="s">
        <v>48</v>
      </c>
      <c r="K236" s="19">
        <f t="shared" ca="1" si="34"/>
        <v>272</v>
      </c>
      <c r="L236" t="s">
        <v>55</v>
      </c>
      <c r="M236" s="29" t="s">
        <v>1326</v>
      </c>
      <c r="N236" t="s">
        <v>58</v>
      </c>
      <c r="O236" s="11">
        <v>1</v>
      </c>
      <c r="P236" t="s">
        <v>63</v>
      </c>
      <c r="Q236" t="s">
        <v>1327</v>
      </c>
      <c r="R236" s="11">
        <v>12</v>
      </c>
      <c r="S236" t="s">
        <v>75</v>
      </c>
      <c r="T236" t="s">
        <v>63</v>
      </c>
      <c r="U236" t="s">
        <v>51</v>
      </c>
      <c r="V236" t="s">
        <v>141</v>
      </c>
      <c r="W236" t="s">
        <v>76</v>
      </c>
      <c r="X236" t="s">
        <v>1323</v>
      </c>
      <c r="Y236" t="s">
        <v>63</v>
      </c>
      <c r="Z236" s="11">
        <v>43</v>
      </c>
      <c r="AA236" s="11">
        <v>8</v>
      </c>
      <c r="AB236" s="11">
        <v>0</v>
      </c>
      <c r="AC236" s="11">
        <f t="shared" si="40"/>
        <v>51</v>
      </c>
      <c r="AD236" s="11">
        <f t="shared" si="41"/>
        <v>7.1588994946659183E-3</v>
      </c>
      <c r="AE236" s="11">
        <f t="shared" si="42"/>
        <v>7.1588994946659179</v>
      </c>
      <c r="AF236" s="11">
        <f t="shared" si="43"/>
        <v>0.11229646266142618</v>
      </c>
      <c r="AG236" s="11">
        <f t="shared" si="44"/>
        <v>0</v>
      </c>
      <c r="AH236" s="11">
        <f t="shared" si="45"/>
        <v>0.18604651162790697</v>
      </c>
      <c r="AI236" t="s">
        <v>63</v>
      </c>
      <c r="AJ236" t="s">
        <v>63</v>
      </c>
      <c r="AK236" t="s">
        <v>1328</v>
      </c>
      <c r="AL236" s="11" t="s">
        <v>235</v>
      </c>
      <c r="AM236" t="str">
        <f t="shared" si="47"/>
        <v>Saturday</v>
      </c>
      <c r="AN236" t="s">
        <v>62</v>
      </c>
      <c r="AO236" s="31"/>
      <c r="AP236" s="31"/>
      <c r="AQ236" t="s">
        <v>63</v>
      </c>
      <c r="AR236" s="11">
        <f t="shared" si="46"/>
        <v>1.0273935813079091</v>
      </c>
    </row>
    <row r="237" spans="1:44" x14ac:dyDescent="0.3">
      <c r="A237" s="27" t="s">
        <v>1059</v>
      </c>
      <c r="B237" s="30"/>
      <c r="C237" s="22">
        <v>1</v>
      </c>
      <c r="D237" s="19">
        <v>7124</v>
      </c>
      <c r="E237" s="8" t="s">
        <v>42</v>
      </c>
      <c r="F237" t="s">
        <v>967</v>
      </c>
      <c r="G237">
        <v>4</v>
      </c>
      <c r="H237" s="13" t="s">
        <v>47</v>
      </c>
      <c r="I237" s="17">
        <v>45738</v>
      </c>
      <c r="J237" t="s">
        <v>48</v>
      </c>
      <c r="K237" s="19">
        <f t="shared" ca="1" si="34"/>
        <v>291</v>
      </c>
      <c r="L237" t="s">
        <v>1329</v>
      </c>
      <c r="M237" t="s">
        <v>1330</v>
      </c>
      <c r="N237" t="s">
        <v>57</v>
      </c>
      <c r="O237" s="11">
        <v>1</v>
      </c>
      <c r="P237" t="s">
        <v>63</v>
      </c>
      <c r="Q237" t="s">
        <v>1331</v>
      </c>
      <c r="R237" s="11">
        <v>7</v>
      </c>
      <c r="S237" t="s">
        <v>75</v>
      </c>
      <c r="T237" t="s">
        <v>63</v>
      </c>
      <c r="U237" t="s">
        <v>51</v>
      </c>
      <c r="V237" t="s">
        <v>141</v>
      </c>
      <c r="W237" t="s">
        <v>76</v>
      </c>
      <c r="X237" t="s">
        <v>1323</v>
      </c>
      <c r="Y237" t="s">
        <v>63</v>
      </c>
      <c r="Z237" s="11">
        <v>14</v>
      </c>
      <c r="AA237" s="11">
        <v>3</v>
      </c>
      <c r="AB237" s="11">
        <v>0</v>
      </c>
      <c r="AC237" s="11">
        <f t="shared" si="40"/>
        <v>17</v>
      </c>
      <c r="AD237" s="11">
        <f t="shared" si="41"/>
        <v>2.3862998315553061E-3</v>
      </c>
      <c r="AE237" s="11">
        <f t="shared" si="42"/>
        <v>2.3862998315553061</v>
      </c>
      <c r="AF237" s="11">
        <f t="shared" si="43"/>
        <v>4.211117349803481E-2</v>
      </c>
      <c r="AG237" s="11">
        <f t="shared" si="44"/>
        <v>0</v>
      </c>
      <c r="AH237" s="11">
        <f t="shared" si="45"/>
        <v>0.21428571428571427</v>
      </c>
      <c r="AI237" t="s">
        <v>63</v>
      </c>
      <c r="AJ237" t="s">
        <v>63</v>
      </c>
      <c r="AK237" t="s">
        <v>1332</v>
      </c>
      <c r="AL237" t="s">
        <v>1333</v>
      </c>
      <c r="AM237" t="str">
        <f>TEXT(I238,"dddd")</f>
        <v>Tuesday</v>
      </c>
      <c r="AN237" t="s">
        <v>62</v>
      </c>
      <c r="AO237" s="31"/>
      <c r="AP237" s="31"/>
      <c r="AQ237" t="s">
        <v>63</v>
      </c>
      <c r="AR237" s="11">
        <f t="shared" si="46"/>
        <v>1.009131193769303</v>
      </c>
    </row>
    <row r="238" spans="1:44" x14ac:dyDescent="0.3">
      <c r="A238" s="27" t="s">
        <v>1060</v>
      </c>
      <c r="B238" s="30" t="s">
        <v>1082</v>
      </c>
      <c r="C238" s="22">
        <v>1</v>
      </c>
      <c r="D238" s="19">
        <v>5365</v>
      </c>
      <c r="E238" s="8" t="s">
        <v>42</v>
      </c>
      <c r="F238" t="s">
        <v>1334</v>
      </c>
      <c r="G238">
        <v>1</v>
      </c>
      <c r="H238" s="13" t="s">
        <v>47</v>
      </c>
      <c r="I238" s="17">
        <v>46021</v>
      </c>
      <c r="J238" t="s">
        <v>89</v>
      </c>
      <c r="K238" s="19">
        <f t="shared" ca="1" si="34"/>
        <v>8</v>
      </c>
      <c r="L238" t="s">
        <v>55</v>
      </c>
      <c r="M238" s="29" t="s">
        <v>110</v>
      </c>
      <c r="N238" t="s">
        <v>58</v>
      </c>
      <c r="O238" s="11">
        <v>6</v>
      </c>
      <c r="P238" t="s">
        <v>63</v>
      </c>
      <c r="Q238" t="s">
        <v>1338</v>
      </c>
      <c r="R238" s="11">
        <v>15</v>
      </c>
      <c r="S238" t="s">
        <v>75</v>
      </c>
      <c r="T238" t="s">
        <v>63</v>
      </c>
      <c r="U238" t="s">
        <v>1339</v>
      </c>
      <c r="V238" t="s">
        <v>141</v>
      </c>
      <c r="W238" t="s">
        <v>142</v>
      </c>
      <c r="X238" t="s">
        <v>1340</v>
      </c>
      <c r="Y238" t="s">
        <v>62</v>
      </c>
      <c r="Z238" s="11">
        <v>50</v>
      </c>
      <c r="AA238" s="11">
        <v>0</v>
      </c>
      <c r="AB238" s="11">
        <v>1</v>
      </c>
      <c r="AC238" s="11">
        <f t="shared" si="40"/>
        <v>51</v>
      </c>
      <c r="AD238" s="11">
        <f t="shared" si="41"/>
        <v>9.5060577819198501E-3</v>
      </c>
      <c r="AE238" s="11">
        <f t="shared" si="42"/>
        <v>9.50605778191985</v>
      </c>
      <c r="AF238" s="11">
        <f t="shared" si="43"/>
        <v>0</v>
      </c>
      <c r="AG238" s="11">
        <f t="shared" si="44"/>
        <v>1.8639328984156572E-2</v>
      </c>
      <c r="AH238" s="11">
        <f t="shared" si="45"/>
        <v>0</v>
      </c>
      <c r="AI238" t="s">
        <v>63</v>
      </c>
      <c r="AJ238" t="s">
        <v>63</v>
      </c>
      <c r="AK238" t="s">
        <v>1341</v>
      </c>
      <c r="AL238" s="11" t="s">
        <v>1256</v>
      </c>
      <c r="AM238" t="str">
        <f t="shared" ref="AM238:AM240" si="48">TEXT(I239,"dddd")</f>
        <v>Tuesday</v>
      </c>
      <c r="AN238" t="s">
        <v>62</v>
      </c>
      <c r="AO238" s="31" t="s">
        <v>1329</v>
      </c>
      <c r="AP238" s="31" t="s">
        <v>890</v>
      </c>
      <c r="AQ238" t="s">
        <v>62</v>
      </c>
      <c r="AR238" s="11">
        <f t="shared" si="46"/>
        <v>1.0273935813079091</v>
      </c>
    </row>
    <row r="239" spans="1:44" x14ac:dyDescent="0.3">
      <c r="A239" s="27" t="s">
        <v>1060</v>
      </c>
      <c r="B239" s="30"/>
      <c r="C239" s="22">
        <v>1</v>
      </c>
      <c r="D239" s="19">
        <v>5365</v>
      </c>
      <c r="E239" s="8" t="s">
        <v>42</v>
      </c>
      <c r="F239" t="s">
        <v>1335</v>
      </c>
      <c r="G239">
        <v>2</v>
      </c>
      <c r="H239" s="13" t="s">
        <v>47</v>
      </c>
      <c r="I239" s="17">
        <v>46021</v>
      </c>
      <c r="J239" t="s">
        <v>89</v>
      </c>
      <c r="K239" s="19">
        <f t="shared" ca="1" si="34"/>
        <v>8</v>
      </c>
      <c r="L239" t="s">
        <v>1329</v>
      </c>
      <c r="M239" s="29" t="s">
        <v>110</v>
      </c>
      <c r="N239" t="s">
        <v>58</v>
      </c>
      <c r="O239" s="11">
        <v>9</v>
      </c>
      <c r="P239" t="s">
        <v>63</v>
      </c>
      <c r="Q239" t="s">
        <v>1351</v>
      </c>
      <c r="R239" s="11">
        <v>16</v>
      </c>
      <c r="S239" t="s">
        <v>75</v>
      </c>
      <c r="T239" t="s">
        <v>63</v>
      </c>
      <c r="U239" t="s">
        <v>1352</v>
      </c>
      <c r="V239" t="s">
        <v>141</v>
      </c>
      <c r="W239" t="s">
        <v>142</v>
      </c>
      <c r="X239" t="s">
        <v>1353</v>
      </c>
      <c r="Y239" t="s">
        <v>62</v>
      </c>
      <c r="Z239" s="11">
        <v>106</v>
      </c>
      <c r="AA239" s="11">
        <v>1</v>
      </c>
      <c r="AB239" s="11">
        <v>1</v>
      </c>
      <c r="AC239" s="11">
        <f t="shared" si="40"/>
        <v>108</v>
      </c>
      <c r="AD239" s="11">
        <f t="shared" si="41"/>
        <v>2.0130475302889098E-2</v>
      </c>
      <c r="AE239" s="11">
        <f t="shared" si="42"/>
        <v>20.130475302889099</v>
      </c>
      <c r="AF239" s="11">
        <f t="shared" si="43"/>
        <v>1.8639328984156572E-2</v>
      </c>
      <c r="AG239" s="11">
        <f t="shared" si="44"/>
        <v>1.8639328984156572E-2</v>
      </c>
      <c r="AH239" s="11">
        <f t="shared" si="45"/>
        <v>9.433962264150943E-3</v>
      </c>
      <c r="AI239" t="s">
        <v>62</v>
      </c>
      <c r="AJ239" t="s">
        <v>63</v>
      </c>
      <c r="AK239" t="s">
        <v>1332</v>
      </c>
      <c r="AL239" s="11" t="s">
        <v>1354</v>
      </c>
      <c r="AM239" t="str">
        <f t="shared" si="48"/>
        <v>Tuesday</v>
      </c>
      <c r="AN239" t="s">
        <v>62</v>
      </c>
      <c r="AO239" s="31"/>
      <c r="AP239" s="31"/>
      <c r="AQ239" t="s">
        <v>62</v>
      </c>
      <c r="AR239" s="11">
        <f t="shared" si="46"/>
        <v>1.0580099368873372</v>
      </c>
    </row>
    <row r="240" spans="1:44" x14ac:dyDescent="0.3">
      <c r="A240" s="27" t="s">
        <v>1060</v>
      </c>
      <c r="B240" s="30"/>
      <c r="C240" s="22">
        <v>1</v>
      </c>
      <c r="D240" s="19">
        <v>5365</v>
      </c>
      <c r="E240" s="8" t="s">
        <v>42</v>
      </c>
      <c r="F240" t="s">
        <v>1195</v>
      </c>
      <c r="G240">
        <v>3</v>
      </c>
      <c r="H240" s="13" t="s">
        <v>47</v>
      </c>
      <c r="I240" s="17">
        <v>46021</v>
      </c>
      <c r="J240" t="s">
        <v>89</v>
      </c>
      <c r="K240" s="19">
        <f t="shared" ca="1" si="34"/>
        <v>8</v>
      </c>
      <c r="L240" t="s">
        <v>1329</v>
      </c>
      <c r="M240" t="s">
        <v>1342</v>
      </c>
      <c r="N240" t="s">
        <v>58</v>
      </c>
      <c r="O240" s="11">
        <v>5</v>
      </c>
      <c r="P240" t="s">
        <v>63</v>
      </c>
      <c r="Q240" t="s">
        <v>1343</v>
      </c>
      <c r="R240" s="11">
        <v>14</v>
      </c>
      <c r="S240" t="s">
        <v>61</v>
      </c>
      <c r="T240" t="s">
        <v>63</v>
      </c>
      <c r="U240" t="s">
        <v>613</v>
      </c>
      <c r="V240" t="s">
        <v>141</v>
      </c>
      <c r="W240" t="s">
        <v>142</v>
      </c>
      <c r="X240" t="s">
        <v>1344</v>
      </c>
      <c r="Y240" t="s">
        <v>62</v>
      </c>
      <c r="Z240" s="11">
        <v>72</v>
      </c>
      <c r="AA240" s="11">
        <v>0</v>
      </c>
      <c r="AB240" s="11">
        <v>2</v>
      </c>
      <c r="AC240" s="11">
        <f t="shared" si="40"/>
        <v>74</v>
      </c>
      <c r="AD240" s="11">
        <f t="shared" si="41"/>
        <v>1.3793103448275862E-2</v>
      </c>
      <c r="AE240" s="11">
        <f t="shared" si="42"/>
        <v>13.793103448275861</v>
      </c>
      <c r="AF240" s="11">
        <f t="shared" si="43"/>
        <v>0</v>
      </c>
      <c r="AG240" s="11">
        <f t="shared" si="44"/>
        <v>3.7278657968313145E-2</v>
      </c>
      <c r="AH240" s="11">
        <f t="shared" si="45"/>
        <v>0</v>
      </c>
      <c r="AI240" t="s">
        <v>62</v>
      </c>
      <c r="AJ240" t="s">
        <v>63</v>
      </c>
      <c r="AK240" t="s">
        <v>1345</v>
      </c>
      <c r="AL240" t="s">
        <v>480</v>
      </c>
      <c r="AM240" t="str">
        <f t="shared" si="48"/>
        <v>Tuesday</v>
      </c>
      <c r="AN240" t="s">
        <v>62</v>
      </c>
      <c r="AO240" s="31"/>
      <c r="AP240" s="31"/>
      <c r="AQ240" t="s">
        <v>62</v>
      </c>
      <c r="AR240" s="11">
        <f t="shared" si="46"/>
        <v>1.0397475493487309</v>
      </c>
    </row>
    <row r="241" spans="1:44" x14ac:dyDescent="0.3">
      <c r="A241" s="27" t="s">
        <v>1060</v>
      </c>
      <c r="B241" s="30"/>
      <c r="C241" s="22">
        <v>1</v>
      </c>
      <c r="D241" s="19">
        <v>5365</v>
      </c>
      <c r="E241" s="8" t="s">
        <v>42</v>
      </c>
      <c r="F241" t="s">
        <v>1336</v>
      </c>
      <c r="G241">
        <v>4</v>
      </c>
      <c r="H241" s="13" t="s">
        <v>47</v>
      </c>
      <c r="I241" s="17">
        <v>46021</v>
      </c>
      <c r="J241" t="s">
        <v>89</v>
      </c>
      <c r="K241" s="19">
        <f t="shared" ca="1" si="34"/>
        <v>8</v>
      </c>
      <c r="L241" t="s">
        <v>890</v>
      </c>
      <c r="M241" t="s">
        <v>1346</v>
      </c>
      <c r="N241" t="s">
        <v>58</v>
      </c>
      <c r="O241" s="11">
        <v>7</v>
      </c>
      <c r="P241" t="s">
        <v>63</v>
      </c>
      <c r="Q241" t="s">
        <v>1347</v>
      </c>
      <c r="R241" s="11">
        <v>17</v>
      </c>
      <c r="S241" t="s">
        <v>75</v>
      </c>
      <c r="T241" t="s">
        <v>63</v>
      </c>
      <c r="U241" t="s">
        <v>1348</v>
      </c>
      <c r="V241" t="s">
        <v>141</v>
      </c>
      <c r="W241" t="s">
        <v>142</v>
      </c>
      <c r="X241" t="s">
        <v>1349</v>
      </c>
      <c r="Y241" t="s">
        <v>62</v>
      </c>
      <c r="Z241" s="11">
        <v>44</v>
      </c>
      <c r="AA241" s="11">
        <v>0</v>
      </c>
      <c r="AB241" s="11">
        <v>0</v>
      </c>
      <c r="AC241" s="11">
        <f t="shared" si="40"/>
        <v>44</v>
      </c>
      <c r="AD241" s="11">
        <f t="shared" si="41"/>
        <v>8.2013047530288905E-3</v>
      </c>
      <c r="AE241" s="11">
        <f t="shared" si="42"/>
        <v>8.2013047530288912</v>
      </c>
      <c r="AF241" s="11">
        <f t="shared" si="43"/>
        <v>0</v>
      </c>
      <c r="AG241" s="11">
        <f t="shared" si="44"/>
        <v>0</v>
      </c>
      <c r="AH241" s="11">
        <f t="shared" si="45"/>
        <v>0</v>
      </c>
      <c r="AI241" t="s">
        <v>62</v>
      </c>
      <c r="AJ241" t="s">
        <v>63</v>
      </c>
      <c r="AK241" t="s">
        <v>1350</v>
      </c>
      <c r="AL241" s="11" t="s">
        <v>258</v>
      </c>
      <c r="AM241" t="str">
        <f>TEXT(I242,"dddd")</f>
        <v>Tuesday</v>
      </c>
      <c r="AN241" t="s">
        <v>62</v>
      </c>
      <c r="AO241" s="31"/>
      <c r="AP241" s="31"/>
      <c r="AQ241" t="s">
        <v>62</v>
      </c>
      <c r="AR241" s="11">
        <f t="shared" si="46"/>
        <v>1.0236336779911375</v>
      </c>
    </row>
    <row r="242" spans="1:44" x14ac:dyDescent="0.3">
      <c r="A242" s="27" t="s">
        <v>1061</v>
      </c>
      <c r="B242" s="30" t="s">
        <v>1083</v>
      </c>
      <c r="C242" s="22">
        <v>200</v>
      </c>
      <c r="D242" s="19">
        <v>3369</v>
      </c>
      <c r="E242" s="8" t="s">
        <v>42</v>
      </c>
      <c r="F242" t="s">
        <v>1337</v>
      </c>
      <c r="G242">
        <v>1</v>
      </c>
      <c r="H242" s="13" t="s">
        <v>47</v>
      </c>
      <c r="I242" s="17">
        <v>46021</v>
      </c>
      <c r="J242" t="s">
        <v>48</v>
      </c>
      <c r="K242" s="19">
        <f t="shared" ca="1" si="34"/>
        <v>8</v>
      </c>
      <c r="L242" t="s">
        <v>55</v>
      </c>
      <c r="M242" t="s">
        <v>244</v>
      </c>
      <c r="N242" t="s">
        <v>58</v>
      </c>
      <c r="O242" s="11">
        <v>1</v>
      </c>
      <c r="P242" t="s">
        <v>63</v>
      </c>
      <c r="Q242" t="s">
        <v>1357</v>
      </c>
      <c r="R242" s="11">
        <v>17</v>
      </c>
      <c r="S242" t="s">
        <v>75</v>
      </c>
      <c r="T242" t="s">
        <v>63</v>
      </c>
      <c r="U242" t="s">
        <v>1358</v>
      </c>
      <c r="V242" t="s">
        <v>141</v>
      </c>
      <c r="W242" t="s">
        <v>142</v>
      </c>
      <c r="X242" t="s">
        <v>1359</v>
      </c>
      <c r="Y242" t="s">
        <v>63</v>
      </c>
      <c r="Z242" s="11">
        <v>27</v>
      </c>
      <c r="AA242" s="11">
        <v>1</v>
      </c>
      <c r="AB242" s="11">
        <v>0</v>
      </c>
      <c r="AC242" s="11">
        <f t="shared" si="40"/>
        <v>28</v>
      </c>
      <c r="AD242" s="11">
        <f t="shared" si="41"/>
        <v>8.3110715345799946E-3</v>
      </c>
      <c r="AE242" s="11">
        <f t="shared" si="42"/>
        <v>8.3110715345799946</v>
      </c>
      <c r="AF242" s="11">
        <f t="shared" si="43"/>
        <v>2.9682398337785694E-2</v>
      </c>
      <c r="AG242" s="11">
        <f t="shared" si="44"/>
        <v>0</v>
      </c>
      <c r="AH242" s="11">
        <f t="shared" si="45"/>
        <v>3.7037037037037035E-2</v>
      </c>
      <c r="AI242" t="s">
        <v>63</v>
      </c>
      <c r="AJ242" t="s">
        <v>62</v>
      </c>
      <c r="AK242" t="s">
        <v>1360</v>
      </c>
      <c r="AL242" t="s">
        <v>1361</v>
      </c>
      <c r="AM242" t="str">
        <f t="shared" ref="AM242:AM244" si="49">TEXT(I243,"dddd")</f>
        <v>Wednesday</v>
      </c>
      <c r="AN242" t="s">
        <v>62</v>
      </c>
      <c r="AO242" s="31" t="s">
        <v>55</v>
      </c>
      <c r="AP242" s="31" t="s">
        <v>1362</v>
      </c>
      <c r="AQ242" t="s">
        <v>62</v>
      </c>
      <c r="AR242" s="11">
        <f t="shared" si="46"/>
        <v>1.0150396132670874</v>
      </c>
    </row>
    <row r="243" spans="1:44" x14ac:dyDescent="0.3">
      <c r="A243" s="27" t="s">
        <v>1061</v>
      </c>
      <c r="B243" s="30"/>
      <c r="C243" s="22">
        <v>200</v>
      </c>
      <c r="D243" s="19">
        <v>3369</v>
      </c>
      <c r="E243" s="8" t="s">
        <v>42</v>
      </c>
      <c r="F243" t="s">
        <v>1355</v>
      </c>
      <c r="G243">
        <v>2</v>
      </c>
      <c r="H243" s="13" t="s">
        <v>47</v>
      </c>
      <c r="I243" s="17">
        <v>45966</v>
      </c>
      <c r="J243" t="s">
        <v>48</v>
      </c>
      <c r="K243" s="19">
        <f t="shared" ca="1" si="34"/>
        <v>63</v>
      </c>
      <c r="L243" t="s">
        <v>1362</v>
      </c>
      <c r="M243" t="s">
        <v>164</v>
      </c>
      <c r="N243" t="s">
        <v>58</v>
      </c>
      <c r="O243" s="11">
        <v>1</v>
      </c>
      <c r="P243" t="s">
        <v>63</v>
      </c>
      <c r="Q243" t="s">
        <v>1363</v>
      </c>
      <c r="R243" s="11">
        <v>18</v>
      </c>
      <c r="S243" t="s">
        <v>75</v>
      </c>
      <c r="T243" t="s">
        <v>63</v>
      </c>
      <c r="U243" t="s">
        <v>1364</v>
      </c>
      <c r="V243" t="s">
        <v>141</v>
      </c>
      <c r="W243" t="s">
        <v>76</v>
      </c>
      <c r="X243" t="s">
        <v>1365</v>
      </c>
      <c r="Y243" t="s">
        <v>63</v>
      </c>
      <c r="Z243" s="11">
        <v>15</v>
      </c>
      <c r="AA243" s="11">
        <v>0</v>
      </c>
      <c r="AB243" s="11">
        <v>0</v>
      </c>
      <c r="AC243" s="11">
        <f t="shared" si="40"/>
        <v>15</v>
      </c>
      <c r="AD243" s="11">
        <f t="shared" si="41"/>
        <v>4.4523597506678537E-3</v>
      </c>
      <c r="AE243" s="11">
        <f t="shared" si="42"/>
        <v>4.4523597506678536</v>
      </c>
      <c r="AF243" s="11">
        <f t="shared" si="43"/>
        <v>0</v>
      </c>
      <c r="AG243" s="11">
        <f t="shared" si="44"/>
        <v>0</v>
      </c>
      <c r="AH243" s="11">
        <f t="shared" si="45"/>
        <v>0</v>
      </c>
      <c r="AI243" t="s">
        <v>62</v>
      </c>
      <c r="AJ243" t="s">
        <v>62</v>
      </c>
      <c r="AK243" t="s">
        <v>1366</v>
      </c>
      <c r="AL243" t="s">
        <v>190</v>
      </c>
      <c r="AM243" t="str">
        <f t="shared" si="49"/>
        <v>Friday</v>
      </c>
      <c r="AN243" t="s">
        <v>62</v>
      </c>
      <c r="AO243" s="31"/>
      <c r="AP243" s="31"/>
      <c r="AQ243" t="s">
        <v>62</v>
      </c>
      <c r="AR243" s="11">
        <f t="shared" si="46"/>
        <v>1.0080569356787967</v>
      </c>
    </row>
    <row r="244" spans="1:44" x14ac:dyDescent="0.3">
      <c r="A244" s="27" t="s">
        <v>1061</v>
      </c>
      <c r="B244" s="30"/>
      <c r="C244" s="22">
        <v>200</v>
      </c>
      <c r="D244" s="19">
        <v>3369</v>
      </c>
      <c r="E244" s="8" t="s">
        <v>42</v>
      </c>
      <c r="F244" t="s">
        <v>45</v>
      </c>
      <c r="G244">
        <v>3</v>
      </c>
      <c r="H244" s="13" t="s">
        <v>47</v>
      </c>
      <c r="I244" s="17">
        <v>45933</v>
      </c>
      <c r="J244" t="s">
        <v>48</v>
      </c>
      <c r="K244" s="19">
        <f t="shared" ca="1" si="34"/>
        <v>96</v>
      </c>
      <c r="L244" t="s">
        <v>1367</v>
      </c>
      <c r="M244" t="s">
        <v>1205</v>
      </c>
      <c r="N244" t="s">
        <v>58</v>
      </c>
      <c r="O244" s="11">
        <v>1</v>
      </c>
      <c r="P244" t="s">
        <v>63</v>
      </c>
      <c r="Q244" t="s">
        <v>1368</v>
      </c>
      <c r="R244" s="11">
        <v>14</v>
      </c>
      <c r="S244" t="s">
        <v>61</v>
      </c>
      <c r="T244" t="s">
        <v>62</v>
      </c>
      <c r="U244" t="s">
        <v>173</v>
      </c>
      <c r="V244" t="s">
        <v>173</v>
      </c>
      <c r="W244" t="s">
        <v>173</v>
      </c>
      <c r="X244" t="s">
        <v>173</v>
      </c>
      <c r="Y244" t="s">
        <v>62</v>
      </c>
      <c r="Z244" s="11">
        <v>29</v>
      </c>
      <c r="AA244" s="11">
        <v>3</v>
      </c>
      <c r="AB244" s="11">
        <v>0</v>
      </c>
      <c r="AC244" s="11">
        <f t="shared" si="40"/>
        <v>32</v>
      </c>
      <c r="AD244" s="11">
        <f t="shared" si="41"/>
        <v>9.4983674680914221E-3</v>
      </c>
      <c r="AE244" s="11">
        <f t="shared" si="42"/>
        <v>9.4983674680914216</v>
      </c>
      <c r="AF244" s="11">
        <f t="shared" si="43"/>
        <v>8.9047195013357075E-2</v>
      </c>
      <c r="AG244" s="11">
        <f t="shared" si="44"/>
        <v>0</v>
      </c>
      <c r="AH244" s="11">
        <f t="shared" si="45"/>
        <v>0.10344827586206896</v>
      </c>
      <c r="AI244" t="s">
        <v>63</v>
      </c>
      <c r="AJ244" t="s">
        <v>62</v>
      </c>
      <c r="AK244" t="s">
        <v>1369</v>
      </c>
      <c r="AL244" s="11" t="s">
        <v>1370</v>
      </c>
      <c r="AM244" t="str">
        <f t="shared" si="49"/>
        <v>Wednesday</v>
      </c>
      <c r="AN244" t="s">
        <v>62</v>
      </c>
      <c r="AO244" s="31"/>
      <c r="AP244" s="31"/>
      <c r="AQ244" t="s">
        <v>62</v>
      </c>
      <c r="AR244" s="11">
        <f t="shared" si="46"/>
        <v>1.0171881294481</v>
      </c>
    </row>
    <row r="245" spans="1:44" x14ac:dyDescent="0.3">
      <c r="A245" s="27" t="s">
        <v>1061</v>
      </c>
      <c r="B245" s="30"/>
      <c r="C245" s="22">
        <v>200</v>
      </c>
      <c r="D245" s="19">
        <v>3369</v>
      </c>
      <c r="E245" s="8" t="s">
        <v>42</v>
      </c>
      <c r="F245" t="s">
        <v>1356</v>
      </c>
      <c r="G245">
        <v>4</v>
      </c>
      <c r="H245" s="13" t="s">
        <v>47</v>
      </c>
      <c r="I245" s="17">
        <v>45931</v>
      </c>
      <c r="J245" t="s">
        <v>48</v>
      </c>
      <c r="K245" s="19">
        <f t="shared" ca="1" si="34"/>
        <v>98</v>
      </c>
      <c r="L245" t="s">
        <v>1367</v>
      </c>
      <c r="M245" t="s">
        <v>331</v>
      </c>
      <c r="N245" t="s">
        <v>58</v>
      </c>
      <c r="O245" s="11">
        <v>1</v>
      </c>
      <c r="P245" t="s">
        <v>63</v>
      </c>
      <c r="Q245" t="s">
        <v>1371</v>
      </c>
      <c r="R245" s="11">
        <v>14</v>
      </c>
      <c r="S245" t="s">
        <v>75</v>
      </c>
      <c r="T245" t="s">
        <v>62</v>
      </c>
      <c r="U245" t="s">
        <v>173</v>
      </c>
      <c r="V245" t="s">
        <v>173</v>
      </c>
      <c r="W245" t="s">
        <v>173</v>
      </c>
      <c r="X245" t="s">
        <v>173</v>
      </c>
      <c r="Y245" t="s">
        <v>63</v>
      </c>
      <c r="Z245" s="11">
        <v>23</v>
      </c>
      <c r="AA245" s="11">
        <v>2</v>
      </c>
      <c r="AB245" s="11">
        <v>0</v>
      </c>
      <c r="AC245" s="11">
        <f t="shared" si="40"/>
        <v>25</v>
      </c>
      <c r="AD245" s="11">
        <f t="shared" si="41"/>
        <v>7.4205995844464235E-3</v>
      </c>
      <c r="AE245" s="11">
        <f t="shared" si="42"/>
        <v>7.4205995844464239</v>
      </c>
      <c r="AF245" s="11">
        <f t="shared" si="43"/>
        <v>5.9364796675571388E-2</v>
      </c>
      <c r="AG245" s="11">
        <f t="shared" si="44"/>
        <v>0</v>
      </c>
      <c r="AH245" s="11">
        <f t="shared" si="45"/>
        <v>8.6956521739130432E-2</v>
      </c>
      <c r="AI245" t="s">
        <v>63</v>
      </c>
      <c r="AJ245" t="s">
        <v>62</v>
      </c>
      <c r="AK245" t="s">
        <v>1372</v>
      </c>
      <c r="AL245" t="s">
        <v>1373</v>
      </c>
      <c r="AM245" t="str">
        <f>TEXT(I246,"dddd")</f>
        <v>Monday</v>
      </c>
      <c r="AN245" t="s">
        <v>62</v>
      </c>
      <c r="AO245" s="31"/>
      <c r="AP245" s="31"/>
      <c r="AQ245" t="s">
        <v>62</v>
      </c>
      <c r="AR245" s="11">
        <f t="shared" si="46"/>
        <v>1.0134282261313281</v>
      </c>
    </row>
    <row r="246" spans="1:44" x14ac:dyDescent="0.3">
      <c r="A246" s="27" t="s">
        <v>1062</v>
      </c>
      <c r="B246" s="30" t="s">
        <v>1084</v>
      </c>
      <c r="C246" s="22">
        <v>1</v>
      </c>
      <c r="D246" s="19">
        <v>13488</v>
      </c>
      <c r="E246" s="8" t="s">
        <v>42</v>
      </c>
      <c r="F246" t="s">
        <v>1374</v>
      </c>
      <c r="G246">
        <v>1</v>
      </c>
      <c r="H246" s="13" t="s">
        <v>47</v>
      </c>
      <c r="I246" s="17">
        <v>46027</v>
      </c>
      <c r="J246" t="s">
        <v>89</v>
      </c>
      <c r="K246" s="19">
        <f t="shared" ca="1" si="34"/>
        <v>2</v>
      </c>
      <c r="L246" t="s">
        <v>1043</v>
      </c>
      <c r="M246" t="s">
        <v>276</v>
      </c>
      <c r="N246" t="s">
        <v>58</v>
      </c>
      <c r="O246" s="11">
        <v>1</v>
      </c>
      <c r="P246" t="s">
        <v>62</v>
      </c>
      <c r="Q246" t="s">
        <v>1375</v>
      </c>
      <c r="R246" s="11">
        <v>7</v>
      </c>
      <c r="S246" t="s">
        <v>99</v>
      </c>
      <c r="T246" t="s">
        <v>63</v>
      </c>
      <c r="U246" t="s">
        <v>1376</v>
      </c>
      <c r="V246" t="s">
        <v>141</v>
      </c>
      <c r="W246" t="s">
        <v>76</v>
      </c>
      <c r="X246" t="s">
        <v>1377</v>
      </c>
      <c r="Y246" t="s">
        <v>63</v>
      </c>
      <c r="Z246" s="11">
        <v>7</v>
      </c>
      <c r="AA246" s="11">
        <v>0</v>
      </c>
      <c r="AB246" s="11">
        <v>0</v>
      </c>
      <c r="AC246" s="11">
        <f t="shared" si="40"/>
        <v>7</v>
      </c>
      <c r="AD246" s="11">
        <f t="shared" si="41"/>
        <v>5.189798339264531E-4</v>
      </c>
      <c r="AE246" s="11">
        <f t="shared" si="42"/>
        <v>0.51897983392645308</v>
      </c>
      <c r="AF246" s="11">
        <f t="shared" si="43"/>
        <v>0</v>
      </c>
      <c r="AG246" s="11">
        <f t="shared" si="44"/>
        <v>0</v>
      </c>
      <c r="AH246" s="11">
        <f t="shared" si="45"/>
        <v>0</v>
      </c>
      <c r="AI246" t="s">
        <v>63</v>
      </c>
      <c r="AJ246" t="s">
        <v>62</v>
      </c>
      <c r="AK246" t="s">
        <v>192</v>
      </c>
      <c r="AL246" t="s">
        <v>1378</v>
      </c>
      <c r="AM246" t="str">
        <f t="shared" ref="AM246:AM248" si="50">TEXT(I247,"dddd")</f>
        <v>Sunday</v>
      </c>
      <c r="AN246" t="s">
        <v>63</v>
      </c>
      <c r="AO246" s="31" t="s">
        <v>1043</v>
      </c>
      <c r="AP246" s="31" t="s">
        <v>276</v>
      </c>
      <c r="AQ246" t="s">
        <v>63</v>
      </c>
      <c r="AR246" s="11">
        <f t="shared" si="46"/>
        <v>1.0037599033167719</v>
      </c>
    </row>
    <row r="247" spans="1:44" x14ac:dyDescent="0.3">
      <c r="A247" s="27" t="s">
        <v>1062</v>
      </c>
      <c r="B247" s="30"/>
      <c r="C247" s="22">
        <v>1</v>
      </c>
      <c r="D247" s="19">
        <v>13488</v>
      </c>
      <c r="E247" s="8" t="s">
        <v>42</v>
      </c>
      <c r="F247" t="s">
        <v>967</v>
      </c>
      <c r="G247">
        <v>2</v>
      </c>
      <c r="H247" s="13" t="s">
        <v>47</v>
      </c>
      <c r="I247" s="17">
        <v>46026</v>
      </c>
      <c r="J247" t="s">
        <v>89</v>
      </c>
      <c r="K247" s="19">
        <f t="shared" ca="1" si="34"/>
        <v>3</v>
      </c>
      <c r="L247" t="s">
        <v>1043</v>
      </c>
      <c r="M247" t="s">
        <v>276</v>
      </c>
      <c r="N247" t="s">
        <v>58</v>
      </c>
      <c r="O247" s="11">
        <v>6</v>
      </c>
      <c r="P247" t="s">
        <v>62</v>
      </c>
      <c r="Q247" t="s">
        <v>1375</v>
      </c>
      <c r="R247" s="11">
        <v>9</v>
      </c>
      <c r="S247" t="s">
        <v>99</v>
      </c>
      <c r="T247" t="s">
        <v>62</v>
      </c>
      <c r="U247" t="s">
        <v>173</v>
      </c>
      <c r="V247" t="s">
        <v>173</v>
      </c>
      <c r="W247" t="s">
        <v>173</v>
      </c>
      <c r="X247" t="s">
        <v>173</v>
      </c>
      <c r="Y247" t="s">
        <v>63</v>
      </c>
      <c r="Z247" s="11">
        <v>11</v>
      </c>
      <c r="AA247" s="11">
        <v>2</v>
      </c>
      <c r="AB247" s="11">
        <v>0</v>
      </c>
      <c r="AC247" s="11">
        <f t="shared" si="40"/>
        <v>13</v>
      </c>
      <c r="AD247" s="11">
        <f t="shared" si="41"/>
        <v>9.6381969157769874E-4</v>
      </c>
      <c r="AE247" s="11">
        <f t="shared" si="42"/>
        <v>0.96381969157769876</v>
      </c>
      <c r="AF247" s="11">
        <f t="shared" si="43"/>
        <v>1.4827995255041519E-2</v>
      </c>
      <c r="AG247" s="11">
        <f t="shared" si="44"/>
        <v>0</v>
      </c>
      <c r="AH247" s="11">
        <f t="shared" si="45"/>
        <v>0.18181818181818182</v>
      </c>
      <c r="AI247" t="s">
        <v>62</v>
      </c>
      <c r="AJ247" t="s">
        <v>62</v>
      </c>
      <c r="AK247" t="s">
        <v>1379</v>
      </c>
      <c r="AL247" t="s">
        <v>1380</v>
      </c>
      <c r="AM247" t="str">
        <f t="shared" si="50"/>
        <v>Saturday</v>
      </c>
      <c r="AN247" t="s">
        <v>63</v>
      </c>
      <c r="AO247" s="31"/>
      <c r="AP247" s="31"/>
      <c r="AQ247" t="s">
        <v>63</v>
      </c>
      <c r="AR247" s="11">
        <f t="shared" si="46"/>
        <v>1.0069826775882906</v>
      </c>
    </row>
    <row r="248" spans="1:44" x14ac:dyDescent="0.3">
      <c r="A248" s="27" t="s">
        <v>1062</v>
      </c>
      <c r="B248" s="30"/>
      <c r="C248" s="22">
        <v>1</v>
      </c>
      <c r="D248" s="19">
        <v>13488</v>
      </c>
      <c r="E248" s="8" t="s">
        <v>42</v>
      </c>
      <c r="F248" t="s">
        <v>283</v>
      </c>
      <c r="G248">
        <v>3</v>
      </c>
      <c r="H248" s="13" t="s">
        <v>47</v>
      </c>
      <c r="I248" s="17">
        <v>46025</v>
      </c>
      <c r="J248" t="s">
        <v>89</v>
      </c>
      <c r="K248" s="19">
        <f t="shared" ca="1" si="34"/>
        <v>4</v>
      </c>
      <c r="L248" t="s">
        <v>1043</v>
      </c>
      <c r="M248" t="s">
        <v>1381</v>
      </c>
      <c r="N248" t="s">
        <v>58</v>
      </c>
      <c r="O248" s="11">
        <v>9</v>
      </c>
      <c r="P248" t="s">
        <v>62</v>
      </c>
      <c r="Q248" s="29" t="s">
        <v>1382</v>
      </c>
      <c r="R248" s="11">
        <v>12</v>
      </c>
      <c r="S248" t="s">
        <v>99</v>
      </c>
      <c r="T248" t="s">
        <v>63</v>
      </c>
      <c r="U248" t="s">
        <v>1383</v>
      </c>
      <c r="V248" t="s">
        <v>1202</v>
      </c>
      <c r="W248" t="s">
        <v>142</v>
      </c>
      <c r="X248" t="s">
        <v>1384</v>
      </c>
      <c r="Y248" t="s">
        <v>62</v>
      </c>
      <c r="Z248" s="11">
        <v>8</v>
      </c>
      <c r="AA248" s="11">
        <v>2</v>
      </c>
      <c r="AB248" s="11">
        <v>0</v>
      </c>
      <c r="AC248" s="11">
        <f t="shared" si="40"/>
        <v>10</v>
      </c>
      <c r="AD248" s="11">
        <f t="shared" si="41"/>
        <v>7.4139976275207592E-4</v>
      </c>
      <c r="AE248" s="11">
        <f t="shared" si="42"/>
        <v>0.74139976275207586</v>
      </c>
      <c r="AF248" s="11">
        <f t="shared" si="43"/>
        <v>1.4827995255041519E-2</v>
      </c>
      <c r="AG248" s="11">
        <f t="shared" si="44"/>
        <v>0</v>
      </c>
      <c r="AH248" s="11">
        <f t="shared" si="45"/>
        <v>0.25</v>
      </c>
      <c r="AI248" t="s">
        <v>63</v>
      </c>
      <c r="AJ248" t="s">
        <v>62</v>
      </c>
      <c r="AK248" t="s">
        <v>1385</v>
      </c>
      <c r="AL248" t="s">
        <v>1386</v>
      </c>
      <c r="AM248" t="str">
        <f t="shared" si="50"/>
        <v>Friday</v>
      </c>
      <c r="AN248" t="s">
        <v>63</v>
      </c>
      <c r="AO248" s="31"/>
      <c r="AP248" s="31"/>
      <c r="AQ248" t="s">
        <v>63</v>
      </c>
      <c r="AR248" s="11">
        <f t="shared" si="46"/>
        <v>1.0053712904525312</v>
      </c>
    </row>
    <row r="249" spans="1:44" x14ac:dyDescent="0.3">
      <c r="A249" s="27" t="s">
        <v>1062</v>
      </c>
      <c r="B249" s="30"/>
      <c r="C249" s="22">
        <v>1</v>
      </c>
      <c r="D249" s="19">
        <v>13488</v>
      </c>
      <c r="E249" s="8" t="s">
        <v>42</v>
      </c>
      <c r="F249" t="s">
        <v>978</v>
      </c>
      <c r="G249">
        <v>4</v>
      </c>
      <c r="H249" s="13" t="s">
        <v>47</v>
      </c>
      <c r="I249" s="17">
        <v>46024</v>
      </c>
      <c r="J249" t="s">
        <v>89</v>
      </c>
      <c r="K249" s="19">
        <f t="shared" ca="1" si="34"/>
        <v>5</v>
      </c>
      <c r="L249" t="s">
        <v>1387</v>
      </c>
      <c r="M249" t="s">
        <v>166</v>
      </c>
      <c r="N249" t="s">
        <v>58</v>
      </c>
      <c r="O249" s="11">
        <v>1</v>
      </c>
      <c r="P249" t="s">
        <v>63</v>
      </c>
      <c r="Q249" t="s">
        <v>1388</v>
      </c>
      <c r="R249" s="11">
        <v>12</v>
      </c>
      <c r="S249" t="s">
        <v>75</v>
      </c>
      <c r="T249" t="s">
        <v>63</v>
      </c>
      <c r="U249" t="s">
        <v>78</v>
      </c>
      <c r="V249" t="s">
        <v>141</v>
      </c>
      <c r="W249" t="s">
        <v>76</v>
      </c>
      <c r="X249" s="29" t="s">
        <v>1389</v>
      </c>
      <c r="Y249" t="s">
        <v>63</v>
      </c>
      <c r="Z249" s="11">
        <v>5</v>
      </c>
      <c r="AA249" s="11">
        <v>2</v>
      </c>
      <c r="AB249" s="11">
        <v>0</v>
      </c>
      <c r="AC249" s="11">
        <f t="shared" si="40"/>
        <v>7</v>
      </c>
      <c r="AD249" s="11">
        <f t="shared" si="41"/>
        <v>5.189798339264531E-4</v>
      </c>
      <c r="AE249" s="11">
        <f t="shared" si="42"/>
        <v>0.51897983392645308</v>
      </c>
      <c r="AF249" s="11">
        <f t="shared" si="43"/>
        <v>1.4827995255041519E-2</v>
      </c>
      <c r="AG249" s="11">
        <f t="shared" si="44"/>
        <v>0</v>
      </c>
      <c r="AH249" s="11">
        <f t="shared" si="45"/>
        <v>0.4</v>
      </c>
      <c r="AI249" t="s">
        <v>63</v>
      </c>
      <c r="AJ249" t="s">
        <v>62</v>
      </c>
      <c r="AK249" t="s">
        <v>1390</v>
      </c>
      <c r="AL249" t="s">
        <v>71</v>
      </c>
      <c r="AM249" t="str">
        <f>TEXT(I250,"dddd")</f>
        <v>Monday</v>
      </c>
      <c r="AN249" t="s">
        <v>63</v>
      </c>
      <c r="AO249" s="31"/>
      <c r="AP249" s="31"/>
      <c r="AQ249" t="s">
        <v>63</v>
      </c>
      <c r="AR249" s="11">
        <f t="shared" si="46"/>
        <v>1.0037599033167719</v>
      </c>
    </row>
    <row r="250" spans="1:44" x14ac:dyDescent="0.3">
      <c r="A250" s="27" t="s">
        <v>1063</v>
      </c>
      <c r="B250" s="30" t="s">
        <v>1085</v>
      </c>
      <c r="C250" s="22">
        <v>1</v>
      </c>
      <c r="D250" s="19">
        <v>40321</v>
      </c>
      <c r="E250" s="8" t="s">
        <v>42</v>
      </c>
      <c r="F250" t="s">
        <v>1031</v>
      </c>
      <c r="G250">
        <v>1</v>
      </c>
      <c r="H250" s="13" t="s">
        <v>47</v>
      </c>
      <c r="I250" s="17">
        <v>46027</v>
      </c>
      <c r="J250" t="s">
        <v>89</v>
      </c>
      <c r="K250" s="19">
        <f t="shared" ca="1" si="34"/>
        <v>2</v>
      </c>
      <c r="L250" t="s">
        <v>1043</v>
      </c>
      <c r="M250" t="s">
        <v>703</v>
      </c>
      <c r="N250" t="s">
        <v>58</v>
      </c>
      <c r="O250" s="11">
        <v>1</v>
      </c>
      <c r="P250" t="s">
        <v>63</v>
      </c>
      <c r="Q250" t="s">
        <v>1392</v>
      </c>
      <c r="R250" s="11">
        <v>4</v>
      </c>
      <c r="S250" t="s">
        <v>61</v>
      </c>
      <c r="T250" t="s">
        <v>63</v>
      </c>
      <c r="U250" t="s">
        <v>1393</v>
      </c>
      <c r="V250" t="s">
        <v>141</v>
      </c>
      <c r="W250" t="s">
        <v>76</v>
      </c>
      <c r="X250" t="s">
        <v>399</v>
      </c>
      <c r="Y250" t="s">
        <v>63</v>
      </c>
      <c r="Z250" s="11">
        <v>82</v>
      </c>
      <c r="AA250" s="11">
        <v>66</v>
      </c>
      <c r="AB250" s="11">
        <v>3</v>
      </c>
      <c r="AC250" s="11">
        <f t="shared" si="40"/>
        <v>151</v>
      </c>
      <c r="AD250" s="11">
        <f t="shared" si="41"/>
        <v>3.7449468019146353E-3</v>
      </c>
      <c r="AE250" s="11">
        <f t="shared" si="42"/>
        <v>3.7449468019146352</v>
      </c>
      <c r="AF250" s="11">
        <f t="shared" si="43"/>
        <v>0.1636864165075271</v>
      </c>
      <c r="AG250" s="11">
        <f t="shared" si="44"/>
        <v>7.4402916594330506E-3</v>
      </c>
      <c r="AH250" s="11">
        <f t="shared" si="45"/>
        <v>0.80487804878048785</v>
      </c>
      <c r="AI250" t="s">
        <v>62</v>
      </c>
      <c r="AJ250" t="s">
        <v>63</v>
      </c>
      <c r="AK250" t="s">
        <v>1394</v>
      </c>
      <c r="AL250" t="s">
        <v>190</v>
      </c>
      <c r="AM250" t="str">
        <f t="shared" ref="AM250:AM252" si="51">TEXT(I251,"dddd")</f>
        <v>Saturday</v>
      </c>
      <c r="AN250" t="s">
        <v>63</v>
      </c>
      <c r="AO250" s="31" t="s">
        <v>166</v>
      </c>
      <c r="AP250" s="31" t="s">
        <v>166</v>
      </c>
      <c r="AQ250" t="s">
        <v>63</v>
      </c>
      <c r="AR250" s="11">
        <f t="shared" si="46"/>
        <v>1.0811064858332213</v>
      </c>
    </row>
    <row r="251" spans="1:44" x14ac:dyDescent="0.3">
      <c r="A251" s="27" t="s">
        <v>1063</v>
      </c>
      <c r="B251" s="30"/>
      <c r="C251" s="22">
        <v>1</v>
      </c>
      <c r="D251" s="19">
        <v>40321</v>
      </c>
      <c r="E251" s="8" t="s">
        <v>42</v>
      </c>
      <c r="F251" t="s">
        <v>441</v>
      </c>
      <c r="G251">
        <v>2</v>
      </c>
      <c r="H251" s="13" t="s">
        <v>47</v>
      </c>
      <c r="I251" s="17">
        <v>46025</v>
      </c>
      <c r="J251" t="s">
        <v>89</v>
      </c>
      <c r="K251" s="19">
        <f t="shared" ca="1" si="34"/>
        <v>4</v>
      </c>
      <c r="L251" s="29" t="s">
        <v>1043</v>
      </c>
      <c r="M251" t="s">
        <v>166</v>
      </c>
      <c r="N251" t="s">
        <v>58</v>
      </c>
      <c r="O251" s="11">
        <v>1</v>
      </c>
      <c r="P251" t="s">
        <v>63</v>
      </c>
      <c r="Q251" s="29" t="s">
        <v>1395</v>
      </c>
      <c r="R251" s="11">
        <v>8</v>
      </c>
      <c r="S251" t="s">
        <v>61</v>
      </c>
      <c r="T251" t="s">
        <v>63</v>
      </c>
      <c r="U251" t="s">
        <v>1396</v>
      </c>
      <c r="V251" t="s">
        <v>141</v>
      </c>
      <c r="W251" t="s">
        <v>76</v>
      </c>
      <c r="X251" t="s">
        <v>1397</v>
      </c>
      <c r="Y251" t="s">
        <v>63</v>
      </c>
      <c r="Z251" s="11">
        <v>73</v>
      </c>
      <c r="AA251" s="11">
        <v>42</v>
      </c>
      <c r="AB251" s="11">
        <v>1</v>
      </c>
      <c r="AC251" s="11">
        <f t="shared" si="40"/>
        <v>116</v>
      </c>
      <c r="AD251" s="11">
        <f t="shared" si="41"/>
        <v>2.8769127749807793E-3</v>
      </c>
      <c r="AE251" s="11">
        <f t="shared" si="42"/>
        <v>2.8769127749807795</v>
      </c>
      <c r="AF251" s="11">
        <f t="shared" si="43"/>
        <v>0.10416408323206271</v>
      </c>
      <c r="AG251" s="11">
        <f t="shared" si="44"/>
        <v>2.4800972198110167E-3</v>
      </c>
      <c r="AH251" s="11">
        <f t="shared" si="45"/>
        <v>0.57534246575342463</v>
      </c>
      <c r="AI251" t="s">
        <v>62</v>
      </c>
      <c r="AJ251" t="s">
        <v>63</v>
      </c>
      <c r="AK251" t="s">
        <v>1398</v>
      </c>
      <c r="AL251" t="s">
        <v>1399</v>
      </c>
      <c r="AM251" t="str">
        <f t="shared" si="51"/>
        <v>Saturday</v>
      </c>
      <c r="AN251" t="s">
        <v>63</v>
      </c>
      <c r="AO251" s="31"/>
      <c r="AP251" s="31"/>
      <c r="AQ251" t="s">
        <v>63</v>
      </c>
      <c r="AR251" s="11">
        <f t="shared" si="46"/>
        <v>1.0623069692493621</v>
      </c>
    </row>
    <row r="252" spans="1:44" x14ac:dyDescent="0.3">
      <c r="A252" s="27" t="s">
        <v>1063</v>
      </c>
      <c r="B252" s="30"/>
      <c r="C252" s="22">
        <v>1</v>
      </c>
      <c r="D252" s="19">
        <v>40321</v>
      </c>
      <c r="E252" s="8" t="s">
        <v>42</v>
      </c>
      <c r="F252" t="s">
        <v>1391</v>
      </c>
      <c r="G252">
        <v>3</v>
      </c>
      <c r="H252" s="13" t="s">
        <v>47</v>
      </c>
      <c r="I252" s="17">
        <v>46025</v>
      </c>
      <c r="J252" t="s">
        <v>89</v>
      </c>
      <c r="K252" s="19">
        <f t="shared" ca="1" si="34"/>
        <v>4</v>
      </c>
      <c r="L252" s="29" t="s">
        <v>1043</v>
      </c>
      <c r="M252" t="s">
        <v>166</v>
      </c>
      <c r="N252" t="s">
        <v>57</v>
      </c>
      <c r="O252" s="11">
        <v>1</v>
      </c>
      <c r="P252" t="s">
        <v>63</v>
      </c>
      <c r="Q252" t="s">
        <v>1400</v>
      </c>
      <c r="R252" s="11">
        <v>11</v>
      </c>
      <c r="S252" t="s">
        <v>61</v>
      </c>
      <c r="T252" t="s">
        <v>63</v>
      </c>
      <c r="U252" t="s">
        <v>1401</v>
      </c>
      <c r="V252" t="s">
        <v>141</v>
      </c>
      <c r="W252" t="s">
        <v>76</v>
      </c>
      <c r="X252" t="s">
        <v>1402</v>
      </c>
      <c r="Y252" t="s">
        <v>63</v>
      </c>
      <c r="Z252" s="11">
        <v>392</v>
      </c>
      <c r="AA252" s="11">
        <v>64</v>
      </c>
      <c r="AB252" s="11">
        <v>24</v>
      </c>
      <c r="AC252" s="11">
        <f t="shared" si="40"/>
        <v>480</v>
      </c>
      <c r="AD252" s="11">
        <f t="shared" si="41"/>
        <v>1.190446665509288E-2</v>
      </c>
      <c r="AE252" s="11">
        <f t="shared" si="42"/>
        <v>11.904466655092881</v>
      </c>
      <c r="AF252" s="11">
        <f t="shared" si="43"/>
        <v>0.15872622206790507</v>
      </c>
      <c r="AG252" s="11">
        <f t="shared" si="44"/>
        <v>5.9522333275464405E-2</v>
      </c>
      <c r="AH252" s="11">
        <f t="shared" si="45"/>
        <v>0.16326530612244897</v>
      </c>
      <c r="AI252" t="s">
        <v>62</v>
      </c>
      <c r="AJ252" t="s">
        <v>63</v>
      </c>
      <c r="AK252" t="s">
        <v>1403</v>
      </c>
      <c r="AL252" t="s">
        <v>1404</v>
      </c>
      <c r="AM252" t="str">
        <f t="shared" si="51"/>
        <v>Friday</v>
      </c>
      <c r="AN252" t="s">
        <v>63</v>
      </c>
      <c r="AO252" s="31"/>
      <c r="AP252" s="31"/>
      <c r="AQ252" t="s">
        <v>63</v>
      </c>
      <c r="AR252" s="11">
        <f t="shared" si="46"/>
        <v>1.2578219417214986</v>
      </c>
    </row>
    <row r="253" spans="1:44" x14ac:dyDescent="0.3">
      <c r="A253" s="27" t="s">
        <v>1063</v>
      </c>
      <c r="B253" s="30"/>
      <c r="C253" s="22">
        <v>1</v>
      </c>
      <c r="D253" s="19">
        <v>40321</v>
      </c>
      <c r="E253" s="8" t="s">
        <v>42</v>
      </c>
      <c r="F253" t="s">
        <v>1092</v>
      </c>
      <c r="G253">
        <v>4</v>
      </c>
      <c r="H253" s="13" t="s">
        <v>47</v>
      </c>
      <c r="I253" s="17">
        <v>46024</v>
      </c>
      <c r="J253" t="s">
        <v>89</v>
      </c>
      <c r="K253" s="19">
        <f t="shared" ca="1" si="34"/>
        <v>5</v>
      </c>
      <c r="L253" s="29" t="s">
        <v>1405</v>
      </c>
      <c r="M253" t="s">
        <v>166</v>
      </c>
      <c r="N253" t="s">
        <v>58</v>
      </c>
      <c r="O253" s="11">
        <v>1</v>
      </c>
      <c r="P253" t="s">
        <v>63</v>
      </c>
      <c r="Q253" t="s">
        <v>1406</v>
      </c>
      <c r="R253" s="11">
        <v>11</v>
      </c>
      <c r="S253" t="s">
        <v>75</v>
      </c>
      <c r="T253" t="s">
        <v>63</v>
      </c>
      <c r="U253" t="s">
        <v>1396</v>
      </c>
      <c r="V253" t="s">
        <v>141</v>
      </c>
      <c r="W253" t="s">
        <v>76</v>
      </c>
      <c r="X253" t="s">
        <v>1397</v>
      </c>
      <c r="Y253" t="s">
        <v>63</v>
      </c>
      <c r="Z253" s="11">
        <v>78</v>
      </c>
      <c r="AA253" s="11">
        <v>55</v>
      </c>
      <c r="AB253" s="11">
        <v>1</v>
      </c>
      <c r="AC253" s="11">
        <f t="shared" si="40"/>
        <v>134</v>
      </c>
      <c r="AD253" s="11">
        <f t="shared" si="41"/>
        <v>3.3233302745467623E-3</v>
      </c>
      <c r="AE253" s="11">
        <f t="shared" si="42"/>
        <v>3.3233302745467621</v>
      </c>
      <c r="AF253" s="11">
        <f t="shared" si="43"/>
        <v>0.13640534708960592</v>
      </c>
      <c r="AG253" s="11">
        <f t="shared" si="44"/>
        <v>2.4800972198110167E-3</v>
      </c>
      <c r="AH253" s="11">
        <f t="shared" si="45"/>
        <v>0.70512820512820518</v>
      </c>
      <c r="AI253" t="s">
        <v>62</v>
      </c>
      <c r="AJ253" t="s">
        <v>63</v>
      </c>
      <c r="AK253" t="s">
        <v>1398</v>
      </c>
      <c r="AL253" s="29" t="s">
        <v>1399</v>
      </c>
      <c r="AM253" t="str">
        <f>TEXT(I254,"dddd")</f>
        <v>Sunday</v>
      </c>
      <c r="AN253" t="s">
        <v>63</v>
      </c>
      <c r="AO253" s="31"/>
      <c r="AP253" s="31"/>
      <c r="AQ253" t="s">
        <v>63</v>
      </c>
      <c r="AR253" s="11">
        <f t="shared" si="46"/>
        <v>1.0719752920639183</v>
      </c>
    </row>
    <row r="254" spans="1:44" x14ac:dyDescent="0.3">
      <c r="A254" s="27" t="s">
        <v>1064</v>
      </c>
      <c r="B254" s="30" t="s">
        <v>1086</v>
      </c>
      <c r="C254" s="22">
        <v>1</v>
      </c>
      <c r="D254" s="19">
        <v>25321</v>
      </c>
      <c r="E254" s="8" t="s">
        <v>42</v>
      </c>
      <c r="F254" t="s">
        <v>441</v>
      </c>
      <c r="G254">
        <v>1</v>
      </c>
      <c r="H254" s="13" t="s">
        <v>47</v>
      </c>
      <c r="I254" s="17">
        <v>46026</v>
      </c>
      <c r="J254" t="s">
        <v>48</v>
      </c>
      <c r="K254" s="19">
        <f t="shared" ca="1" si="34"/>
        <v>3</v>
      </c>
      <c r="L254" t="s">
        <v>1405</v>
      </c>
      <c r="M254" t="s">
        <v>703</v>
      </c>
      <c r="N254" t="s">
        <v>58</v>
      </c>
      <c r="O254" s="11">
        <v>1</v>
      </c>
      <c r="P254" t="s">
        <v>63</v>
      </c>
      <c r="Q254" s="29" t="s">
        <v>1409</v>
      </c>
      <c r="R254" s="11">
        <v>7</v>
      </c>
      <c r="S254" t="s">
        <v>75</v>
      </c>
      <c r="T254" t="s">
        <v>63</v>
      </c>
      <c r="U254" t="s">
        <v>1410</v>
      </c>
      <c r="V254" t="s">
        <v>141</v>
      </c>
      <c r="W254" t="s">
        <v>76</v>
      </c>
      <c r="X254" t="s">
        <v>1344</v>
      </c>
      <c r="Y254" t="s">
        <v>63</v>
      </c>
      <c r="Z254" s="11">
        <v>7</v>
      </c>
      <c r="AA254" s="11">
        <v>1</v>
      </c>
      <c r="AB254" s="11">
        <v>0</v>
      </c>
      <c r="AC254" s="11">
        <f>Z254+AA254+AB254</f>
        <v>8</v>
      </c>
      <c r="AD254" s="11">
        <f t="shared" si="41"/>
        <v>3.1594328817977172E-4</v>
      </c>
      <c r="AE254" s="11">
        <f t="shared" si="42"/>
        <v>0.31594328817977174</v>
      </c>
      <c r="AF254" s="11">
        <f t="shared" si="43"/>
        <v>3.9492911022471463E-3</v>
      </c>
      <c r="AG254" s="11">
        <f t="shared" si="44"/>
        <v>0</v>
      </c>
      <c r="AH254" s="11">
        <f t="shared" si="45"/>
        <v>0.14285714285714285</v>
      </c>
      <c r="AI254" t="s">
        <v>62</v>
      </c>
      <c r="AJ254" t="s">
        <v>63</v>
      </c>
      <c r="AK254" t="s">
        <v>1411</v>
      </c>
      <c r="AL254" s="29" t="s">
        <v>1412</v>
      </c>
      <c r="AM254" t="str">
        <f t="shared" ref="AM254:AM261" si="52">TEXT(I255,"dddd")</f>
        <v>Saturday</v>
      </c>
      <c r="AN254" t="s">
        <v>62</v>
      </c>
      <c r="AO254" s="31" t="s">
        <v>110</v>
      </c>
      <c r="AP254" s="31" t="s">
        <v>424</v>
      </c>
      <c r="AQ254" t="s">
        <v>62</v>
      </c>
      <c r="AR254" s="11">
        <f>1 + 4*((AC254 - MIN($AC$2:$AC$100)) / (MAX($AC$2:$AC$100) - MIN($AC$2:$AC$100)))</f>
        <v>1.0042970323620251</v>
      </c>
    </row>
    <row r="255" spans="1:44" x14ac:dyDescent="0.3">
      <c r="A255" s="27" t="s">
        <v>1064</v>
      </c>
      <c r="B255" s="30"/>
      <c r="C255" s="22">
        <v>1</v>
      </c>
      <c r="D255" s="19">
        <v>25321</v>
      </c>
      <c r="E255" s="8" t="s">
        <v>42</v>
      </c>
      <c r="F255" t="s">
        <v>365</v>
      </c>
      <c r="G255">
        <v>2</v>
      </c>
      <c r="H255" s="13" t="s">
        <v>47</v>
      </c>
      <c r="I255" s="17">
        <v>46025</v>
      </c>
      <c r="J255" t="s">
        <v>48</v>
      </c>
      <c r="K255" s="19">
        <f t="shared" ca="1" si="34"/>
        <v>4</v>
      </c>
      <c r="L255" t="s">
        <v>1413</v>
      </c>
      <c r="M255" t="s">
        <v>164</v>
      </c>
      <c r="N255" t="s">
        <v>57</v>
      </c>
      <c r="O255" s="11">
        <v>1</v>
      </c>
      <c r="P255" t="s">
        <v>62</v>
      </c>
      <c r="Q255" t="s">
        <v>1414</v>
      </c>
      <c r="R255" s="11">
        <v>3</v>
      </c>
      <c r="S255" t="s">
        <v>99</v>
      </c>
      <c r="T255" t="s">
        <v>62</v>
      </c>
      <c r="U255" t="s">
        <v>173</v>
      </c>
      <c r="V255" t="s">
        <v>173</v>
      </c>
      <c r="W255" t="s">
        <v>173</v>
      </c>
      <c r="X255" s="29" t="s">
        <v>173</v>
      </c>
      <c r="Y255" t="s">
        <v>62</v>
      </c>
      <c r="Z255" s="11">
        <v>25</v>
      </c>
      <c r="AA255" s="11">
        <v>6</v>
      </c>
      <c r="AB255" s="11">
        <v>2</v>
      </c>
      <c r="AC255" s="11">
        <f t="shared" ref="AC255:AC277" si="53">Z255+AA255+AB255</f>
        <v>33</v>
      </c>
      <c r="AD255" s="11">
        <f t="shared" si="41"/>
        <v>1.3032660637415584E-3</v>
      </c>
      <c r="AE255" s="11">
        <f t="shared" si="42"/>
        <v>1.3032660637415585</v>
      </c>
      <c r="AF255" s="11">
        <f t="shared" si="43"/>
        <v>2.3695746613482879E-2</v>
      </c>
      <c r="AG255" s="11">
        <f t="shared" si="44"/>
        <v>7.8985822044942925E-3</v>
      </c>
      <c r="AH255" s="11">
        <f t="shared" si="45"/>
        <v>0.24</v>
      </c>
      <c r="AI255" t="s">
        <v>62</v>
      </c>
      <c r="AJ255" t="s">
        <v>62</v>
      </c>
      <c r="AK255" t="s">
        <v>1415</v>
      </c>
      <c r="AL255" t="s">
        <v>1416</v>
      </c>
      <c r="AM255" t="str">
        <f t="shared" si="52"/>
        <v>Tuesday</v>
      </c>
      <c r="AN255" t="s">
        <v>62</v>
      </c>
      <c r="AO255" s="31"/>
      <c r="AP255" s="31"/>
      <c r="AQ255" t="s">
        <v>62</v>
      </c>
      <c r="AR255" s="11">
        <f>1 + 4*((AC255 - MIN($AC$2:$AC$100)) / (MAX($AC$2:$AC$100) - MIN($AC$2:$AC$100)))</f>
        <v>1.0177252584933529</v>
      </c>
    </row>
    <row r="256" spans="1:44" x14ac:dyDescent="0.3">
      <c r="A256" s="27" t="s">
        <v>1064</v>
      </c>
      <c r="B256" s="30"/>
      <c r="C256" s="22">
        <v>1</v>
      </c>
      <c r="D256" s="19">
        <v>25321</v>
      </c>
      <c r="E256" s="8" t="s">
        <v>42</v>
      </c>
      <c r="F256" t="s">
        <v>1407</v>
      </c>
      <c r="G256">
        <v>3</v>
      </c>
      <c r="H256" s="13" t="s">
        <v>47</v>
      </c>
      <c r="I256" s="17">
        <v>46021</v>
      </c>
      <c r="J256" t="s">
        <v>48</v>
      </c>
      <c r="K256" s="19">
        <f t="shared" ca="1" si="34"/>
        <v>8</v>
      </c>
      <c r="L256" s="29" t="s">
        <v>1043</v>
      </c>
      <c r="M256" t="s">
        <v>110</v>
      </c>
      <c r="N256" t="s">
        <v>58</v>
      </c>
      <c r="O256" s="11">
        <v>1</v>
      </c>
      <c r="P256" t="s">
        <v>63</v>
      </c>
      <c r="Q256" t="s">
        <v>1417</v>
      </c>
      <c r="R256" s="11">
        <v>9</v>
      </c>
      <c r="S256" t="s">
        <v>75</v>
      </c>
      <c r="T256" t="s">
        <v>63</v>
      </c>
      <c r="U256" t="s">
        <v>1218</v>
      </c>
      <c r="V256" t="s">
        <v>141</v>
      </c>
      <c r="W256" t="s">
        <v>142</v>
      </c>
      <c r="X256" t="s">
        <v>641</v>
      </c>
      <c r="Y256" t="s">
        <v>63</v>
      </c>
      <c r="Z256" s="11">
        <v>45</v>
      </c>
      <c r="AA256" s="11">
        <v>6</v>
      </c>
      <c r="AB256" s="11">
        <v>0</v>
      </c>
      <c r="AC256" s="11">
        <f t="shared" si="53"/>
        <v>51</v>
      </c>
      <c r="AD256" s="11">
        <f t="shared" si="41"/>
        <v>2.0141384621460449E-3</v>
      </c>
      <c r="AE256" s="11">
        <f t="shared" si="42"/>
        <v>2.014138462146045</v>
      </c>
      <c r="AF256" s="11">
        <f t="shared" si="43"/>
        <v>2.3695746613482879E-2</v>
      </c>
      <c r="AG256" s="11">
        <f t="shared" si="44"/>
        <v>0</v>
      </c>
      <c r="AH256" s="11">
        <f t="shared" si="45"/>
        <v>0.13333333333333333</v>
      </c>
      <c r="AI256" t="s">
        <v>62</v>
      </c>
      <c r="AJ256" t="s">
        <v>62</v>
      </c>
      <c r="AK256" t="s">
        <v>1418</v>
      </c>
      <c r="AL256" t="s">
        <v>1419</v>
      </c>
      <c r="AM256" t="str">
        <f t="shared" si="52"/>
        <v>Wednesday</v>
      </c>
      <c r="AN256" t="s">
        <v>62</v>
      </c>
      <c r="AO256" s="31"/>
      <c r="AP256" s="31"/>
      <c r="AQ256" t="s">
        <v>62</v>
      </c>
      <c r="AR256" s="11">
        <f>1 + 4*((AC256 - MIN($AC$2:$AC$100)) / (MAX($AC$2:$AC$100) - MIN($AC$2:$AC$100)))</f>
        <v>1.0273935813079091</v>
      </c>
    </row>
    <row r="257" spans="1:44" x14ac:dyDescent="0.3">
      <c r="A257" s="27" t="s">
        <v>1064</v>
      </c>
      <c r="B257" s="30"/>
      <c r="C257" s="22">
        <v>1</v>
      </c>
      <c r="D257" s="19">
        <v>25321</v>
      </c>
      <c r="E257" s="8" t="s">
        <v>42</v>
      </c>
      <c r="F257" t="s">
        <v>1408</v>
      </c>
      <c r="G257">
        <v>4</v>
      </c>
      <c r="H257" s="13" t="s">
        <v>47</v>
      </c>
      <c r="I257" s="17">
        <v>46008</v>
      </c>
      <c r="J257" t="s">
        <v>48</v>
      </c>
      <c r="K257" s="19">
        <f t="shared" ca="1" si="34"/>
        <v>21</v>
      </c>
      <c r="L257" s="29" t="s">
        <v>1043</v>
      </c>
      <c r="M257" t="s">
        <v>110</v>
      </c>
      <c r="N257" t="s">
        <v>57</v>
      </c>
      <c r="O257" s="11">
        <v>1</v>
      </c>
      <c r="P257" t="s">
        <v>63</v>
      </c>
      <c r="Q257" s="29" t="s">
        <v>1420</v>
      </c>
      <c r="R257" s="11">
        <v>6</v>
      </c>
      <c r="S257" t="s">
        <v>75</v>
      </c>
      <c r="T257" t="s">
        <v>62</v>
      </c>
      <c r="U257" t="s">
        <v>173</v>
      </c>
      <c r="V257" t="s">
        <v>173</v>
      </c>
      <c r="W257" t="s">
        <v>173</v>
      </c>
      <c r="X257" t="s">
        <v>173</v>
      </c>
      <c r="Y257" t="s">
        <v>62</v>
      </c>
      <c r="Z257" s="11">
        <v>35</v>
      </c>
      <c r="AA257" s="11">
        <v>3</v>
      </c>
      <c r="AB257" s="11">
        <v>0</v>
      </c>
      <c r="AC257" s="11">
        <f t="shared" si="53"/>
        <v>38</v>
      </c>
      <c r="AD257" s="11">
        <f t="shared" si="41"/>
        <v>1.5007306188539156E-3</v>
      </c>
      <c r="AE257" s="11">
        <f t="shared" si="42"/>
        <v>1.5007306188539156</v>
      </c>
      <c r="AF257" s="11">
        <f t="shared" si="43"/>
        <v>1.184787330674144E-2</v>
      </c>
      <c r="AG257" s="11">
        <f t="shared" si="44"/>
        <v>0</v>
      </c>
      <c r="AH257" s="11">
        <f t="shared" si="45"/>
        <v>8.5714285714285715E-2</v>
      </c>
      <c r="AI257" t="s">
        <v>63</v>
      </c>
      <c r="AJ257" t="s">
        <v>62</v>
      </c>
      <c r="AK257" t="s">
        <v>1421</v>
      </c>
      <c r="AL257" t="s">
        <v>1422</v>
      </c>
      <c r="AM257" t="str">
        <f t="shared" si="52"/>
        <v>Saturday</v>
      </c>
      <c r="AN257" t="s">
        <v>62</v>
      </c>
      <c r="AO257" s="31"/>
      <c r="AP257" s="31"/>
      <c r="AQ257" t="s">
        <v>62</v>
      </c>
      <c r="AR257" s="11">
        <f t="shared" ref="AR257:AR277" si="54">1 + 4*((AC257 - MIN($AC$2:$AC$100)) / (MAX($AC$2:$AC$100) - MIN($AC$2:$AC$100)))</f>
        <v>1.0204109037196187</v>
      </c>
    </row>
    <row r="258" spans="1:44" x14ac:dyDescent="0.3">
      <c r="A258" s="27" t="s">
        <v>1065</v>
      </c>
      <c r="B258" s="30" t="s">
        <v>1087</v>
      </c>
      <c r="C258" s="22">
        <v>1</v>
      </c>
      <c r="D258" s="19">
        <v>6206</v>
      </c>
      <c r="E258" s="8" t="s">
        <v>42</v>
      </c>
      <c r="F258" t="s">
        <v>492</v>
      </c>
      <c r="G258">
        <v>1</v>
      </c>
      <c r="H258" s="13" t="s">
        <v>47</v>
      </c>
      <c r="I258" s="17">
        <v>46025</v>
      </c>
      <c r="J258" t="s">
        <v>48</v>
      </c>
      <c r="K258" s="19">
        <f t="shared" ref="K258:K277" ca="1" si="55">IF(ISNUMBER(I258), TODAY() - I258, "")</f>
        <v>4</v>
      </c>
      <c r="L258" t="s">
        <v>400</v>
      </c>
      <c r="M258" t="s">
        <v>1423</v>
      </c>
      <c r="N258" t="s">
        <v>58</v>
      </c>
      <c r="O258" s="11">
        <v>2</v>
      </c>
      <c r="P258" t="s">
        <v>63</v>
      </c>
      <c r="Q258" t="s">
        <v>1424</v>
      </c>
      <c r="R258" s="11">
        <v>11</v>
      </c>
      <c r="S258" t="s">
        <v>61</v>
      </c>
      <c r="T258" t="s">
        <v>63</v>
      </c>
      <c r="U258" t="s">
        <v>1425</v>
      </c>
      <c r="V258" t="s">
        <v>141</v>
      </c>
      <c r="W258" t="s">
        <v>69</v>
      </c>
      <c r="X258" t="s">
        <v>403</v>
      </c>
      <c r="Y258" t="s">
        <v>62</v>
      </c>
      <c r="Z258" s="11">
        <v>45</v>
      </c>
      <c r="AA258" s="11">
        <v>1</v>
      </c>
      <c r="AB258" s="11">
        <v>4</v>
      </c>
      <c r="AC258" s="11">
        <f t="shared" si="53"/>
        <v>50</v>
      </c>
      <c r="AD258" s="11">
        <f t="shared" si="41"/>
        <v>8.0567193038994529E-3</v>
      </c>
      <c r="AE258" s="11">
        <f t="shared" si="42"/>
        <v>8.0567193038994525</v>
      </c>
      <c r="AF258" s="11">
        <f t="shared" si="43"/>
        <v>1.6113438607798906E-2</v>
      </c>
      <c r="AG258" s="11">
        <f t="shared" si="44"/>
        <v>6.4453754431195623E-2</v>
      </c>
      <c r="AH258" s="11">
        <f t="shared" si="45"/>
        <v>2.2222222222222223E-2</v>
      </c>
      <c r="AI258" t="s">
        <v>62</v>
      </c>
      <c r="AJ258" t="s">
        <v>63</v>
      </c>
      <c r="AK258" t="s">
        <v>1426</v>
      </c>
      <c r="AL258" t="s">
        <v>1427</v>
      </c>
      <c r="AM258" t="str">
        <f t="shared" si="52"/>
        <v>Wednesday</v>
      </c>
      <c r="AN258" t="s">
        <v>62</v>
      </c>
      <c r="AO258" s="31" t="s">
        <v>400</v>
      </c>
      <c r="AP258" s="31" t="s">
        <v>1026</v>
      </c>
      <c r="AQ258" t="s">
        <v>62</v>
      </c>
      <c r="AR258" s="11">
        <f t="shared" si="54"/>
        <v>1.0268564522626562</v>
      </c>
    </row>
    <row r="259" spans="1:44" x14ac:dyDescent="0.3">
      <c r="A259" s="27" t="s">
        <v>1065</v>
      </c>
      <c r="B259" s="30"/>
      <c r="C259" s="22">
        <v>1</v>
      </c>
      <c r="D259" s="19">
        <v>6206</v>
      </c>
      <c r="E259" s="8" t="s">
        <v>42</v>
      </c>
      <c r="F259" t="s">
        <v>1440</v>
      </c>
      <c r="G259">
        <v>2</v>
      </c>
      <c r="H259" s="13" t="s">
        <v>47</v>
      </c>
      <c r="I259" s="17">
        <v>46015</v>
      </c>
      <c r="J259" t="s">
        <v>48</v>
      </c>
      <c r="K259" s="19">
        <f t="shared" ca="1" si="55"/>
        <v>14</v>
      </c>
      <c r="L259" t="s">
        <v>1428</v>
      </c>
      <c r="M259" s="29" t="s">
        <v>1429</v>
      </c>
      <c r="N259" t="s">
        <v>58</v>
      </c>
      <c r="O259" s="11">
        <v>1</v>
      </c>
      <c r="P259" t="s">
        <v>63</v>
      </c>
      <c r="Q259" s="29" t="s">
        <v>144</v>
      </c>
      <c r="R259" s="11">
        <v>8</v>
      </c>
      <c r="S259" t="s">
        <v>61</v>
      </c>
      <c r="T259" t="s">
        <v>63</v>
      </c>
      <c r="U259" t="s">
        <v>1425</v>
      </c>
      <c r="V259" t="s">
        <v>141</v>
      </c>
      <c r="W259" t="s">
        <v>76</v>
      </c>
      <c r="X259" t="s">
        <v>641</v>
      </c>
      <c r="Y259" t="s">
        <v>62</v>
      </c>
      <c r="Z259" s="11">
        <v>34</v>
      </c>
      <c r="AA259" s="11">
        <v>1</v>
      </c>
      <c r="AB259" s="11">
        <v>4</v>
      </c>
      <c r="AC259" s="11">
        <f t="shared" si="53"/>
        <v>39</v>
      </c>
      <c r="AD259" s="11">
        <f t="shared" si="41"/>
        <v>6.2842410570415723E-3</v>
      </c>
      <c r="AE259" s="11">
        <f t="shared" si="42"/>
        <v>6.2842410570415721</v>
      </c>
      <c r="AF259" s="11">
        <f t="shared" si="43"/>
        <v>1.6113438607798906E-2</v>
      </c>
      <c r="AG259" s="11">
        <f t="shared" si="44"/>
        <v>6.4453754431195623E-2</v>
      </c>
      <c r="AH259" s="11">
        <f t="shared" si="45"/>
        <v>2.9411764705882353E-2</v>
      </c>
      <c r="AI259" t="s">
        <v>62</v>
      </c>
      <c r="AJ259" t="s">
        <v>63</v>
      </c>
      <c r="AK259" t="s">
        <v>1430</v>
      </c>
      <c r="AL259" s="29" t="s">
        <v>1431</v>
      </c>
      <c r="AM259" t="str">
        <f t="shared" si="52"/>
        <v>Thursday</v>
      </c>
      <c r="AN259" t="s">
        <v>62</v>
      </c>
      <c r="AO259" s="31"/>
      <c r="AP259" s="31"/>
      <c r="AQ259" t="s">
        <v>62</v>
      </c>
      <c r="AR259" s="11">
        <f t="shared" si="54"/>
        <v>1.0209480327648717</v>
      </c>
    </row>
    <row r="260" spans="1:44" x14ac:dyDescent="0.3">
      <c r="A260" s="27" t="s">
        <v>1065</v>
      </c>
      <c r="B260" s="30"/>
      <c r="C260" s="22">
        <v>1</v>
      </c>
      <c r="D260" s="19">
        <v>6206</v>
      </c>
      <c r="E260" s="8" t="s">
        <v>42</v>
      </c>
      <c r="F260" t="s">
        <v>1441</v>
      </c>
      <c r="G260">
        <v>3</v>
      </c>
      <c r="H260" s="13" t="s">
        <v>47</v>
      </c>
      <c r="I260" s="17">
        <v>46016</v>
      </c>
      <c r="J260" t="s">
        <v>48</v>
      </c>
      <c r="K260" s="19">
        <f t="shared" ca="1" si="55"/>
        <v>13</v>
      </c>
      <c r="L260" t="s">
        <v>1432</v>
      </c>
      <c r="M260" t="s">
        <v>1433</v>
      </c>
      <c r="N260" t="s">
        <v>58</v>
      </c>
      <c r="O260" s="11">
        <v>1</v>
      </c>
      <c r="P260" t="s">
        <v>63</v>
      </c>
      <c r="Q260" s="29" t="s">
        <v>585</v>
      </c>
      <c r="R260" s="11">
        <v>6</v>
      </c>
      <c r="S260" t="s">
        <v>75</v>
      </c>
      <c r="T260" t="s">
        <v>63</v>
      </c>
      <c r="U260" t="s">
        <v>1425</v>
      </c>
      <c r="V260" t="s">
        <v>141</v>
      </c>
      <c r="W260" t="s">
        <v>69</v>
      </c>
      <c r="X260" s="29" t="s">
        <v>1199</v>
      </c>
      <c r="Y260" t="s">
        <v>62</v>
      </c>
      <c r="Z260" s="11">
        <v>8</v>
      </c>
      <c r="AA260" s="11">
        <v>0</v>
      </c>
      <c r="AB260" s="11">
        <v>3</v>
      </c>
      <c r="AC260" s="11">
        <f t="shared" si="53"/>
        <v>11</v>
      </c>
      <c r="AD260" s="11">
        <f t="shared" si="41"/>
        <v>1.7724782468578795E-3</v>
      </c>
      <c r="AE260" s="11">
        <f t="shared" si="42"/>
        <v>1.7724782468578795</v>
      </c>
      <c r="AF260" s="11">
        <f t="shared" si="43"/>
        <v>0</v>
      </c>
      <c r="AG260" s="11">
        <f t="shared" si="44"/>
        <v>4.8340315823396714E-2</v>
      </c>
      <c r="AH260" s="11">
        <f t="shared" si="45"/>
        <v>0</v>
      </c>
      <c r="AI260" t="s">
        <v>62</v>
      </c>
      <c r="AJ260" t="s">
        <v>63</v>
      </c>
      <c r="AK260" t="s">
        <v>1434</v>
      </c>
      <c r="AL260" t="s">
        <v>1435</v>
      </c>
      <c r="AM260" t="str">
        <f t="shared" si="52"/>
        <v>Friday</v>
      </c>
      <c r="AN260" t="s">
        <v>62</v>
      </c>
      <c r="AO260" s="31"/>
      <c r="AP260" s="31"/>
      <c r="AQ260" t="s">
        <v>62</v>
      </c>
      <c r="AR260" s="11">
        <f t="shared" si="54"/>
        <v>1.0059084194977843</v>
      </c>
    </row>
    <row r="261" spans="1:44" x14ac:dyDescent="0.3">
      <c r="A261" s="27" t="s">
        <v>1065</v>
      </c>
      <c r="B261" s="30"/>
      <c r="C261" s="22">
        <v>1</v>
      </c>
      <c r="D261" s="19">
        <v>6206</v>
      </c>
      <c r="E261" s="8" t="s">
        <v>42</v>
      </c>
      <c r="F261" t="s">
        <v>1442</v>
      </c>
      <c r="G261">
        <v>4</v>
      </c>
      <c r="H261" s="13" t="s">
        <v>47</v>
      </c>
      <c r="I261" s="17">
        <v>46017</v>
      </c>
      <c r="J261" t="s">
        <v>48</v>
      </c>
      <c r="K261" s="19">
        <f t="shared" ca="1" si="55"/>
        <v>12</v>
      </c>
      <c r="L261" t="s">
        <v>400</v>
      </c>
      <c r="M261" t="s">
        <v>1436</v>
      </c>
      <c r="N261" t="s">
        <v>58</v>
      </c>
      <c r="O261" s="11">
        <v>5</v>
      </c>
      <c r="P261" t="s">
        <v>62</v>
      </c>
      <c r="Q261" t="s">
        <v>1437</v>
      </c>
      <c r="R261" s="11">
        <v>3</v>
      </c>
      <c r="S261" t="s">
        <v>99</v>
      </c>
      <c r="T261" t="s">
        <v>63</v>
      </c>
      <c r="U261" t="s">
        <v>1425</v>
      </c>
      <c r="V261" t="s">
        <v>141</v>
      </c>
      <c r="W261" t="s">
        <v>69</v>
      </c>
      <c r="X261" t="s">
        <v>406</v>
      </c>
      <c r="Y261" t="s">
        <v>62</v>
      </c>
      <c r="Z261" s="11">
        <v>8</v>
      </c>
      <c r="AA261" s="11">
        <v>0</v>
      </c>
      <c r="AB261" s="11">
        <v>0</v>
      </c>
      <c r="AC261" s="11">
        <f t="shared" si="53"/>
        <v>8</v>
      </c>
      <c r="AD261" s="11">
        <f t="shared" si="41"/>
        <v>1.2890750886239124E-3</v>
      </c>
      <c r="AE261" s="11">
        <f t="shared" si="42"/>
        <v>1.2890750886239124</v>
      </c>
      <c r="AF261" s="11">
        <f t="shared" si="43"/>
        <v>0</v>
      </c>
      <c r="AG261" s="11">
        <f t="shared" si="44"/>
        <v>0</v>
      </c>
      <c r="AH261" s="11">
        <f t="shared" si="45"/>
        <v>0</v>
      </c>
      <c r="AI261" t="s">
        <v>62</v>
      </c>
      <c r="AJ261" t="s">
        <v>63</v>
      </c>
      <c r="AK261" t="s">
        <v>1438</v>
      </c>
      <c r="AL261" s="29" t="s">
        <v>1439</v>
      </c>
      <c r="AM261" t="str">
        <f>TEXT(I262,"dddd")</f>
        <v>Friday</v>
      </c>
      <c r="AN261" t="s">
        <v>62</v>
      </c>
      <c r="AO261" s="31"/>
      <c r="AP261" s="31"/>
      <c r="AQ261" t="s">
        <v>62</v>
      </c>
      <c r="AR261" s="11">
        <f t="shared" si="54"/>
        <v>1.0042970323620251</v>
      </c>
    </row>
    <row r="262" spans="1:44" x14ac:dyDescent="0.3">
      <c r="A262" s="27" t="s">
        <v>1066</v>
      </c>
      <c r="B262" s="30" t="s">
        <v>1088</v>
      </c>
      <c r="C262" s="22">
        <v>1</v>
      </c>
      <c r="D262" s="19">
        <v>2171</v>
      </c>
      <c r="E262" s="8" t="s">
        <v>42</v>
      </c>
      <c r="F262" t="s">
        <v>569</v>
      </c>
      <c r="G262">
        <v>1</v>
      </c>
      <c r="H262" s="13" t="s">
        <v>47</v>
      </c>
      <c r="I262" s="17">
        <v>45996</v>
      </c>
      <c r="J262" t="s">
        <v>48</v>
      </c>
      <c r="K262" s="19">
        <f t="shared" ca="1" si="55"/>
        <v>33</v>
      </c>
      <c r="L262" t="s">
        <v>1492</v>
      </c>
      <c r="M262" t="s">
        <v>164</v>
      </c>
      <c r="N262" t="s">
        <v>58</v>
      </c>
      <c r="O262" s="11">
        <v>1</v>
      </c>
      <c r="P262" t="s">
        <v>63</v>
      </c>
      <c r="Q262" t="s">
        <v>1357</v>
      </c>
      <c r="R262" s="11">
        <v>8</v>
      </c>
      <c r="S262" t="s">
        <v>61</v>
      </c>
      <c r="T262" t="s">
        <v>63</v>
      </c>
      <c r="U262" t="s">
        <v>1493</v>
      </c>
      <c r="V262" t="s">
        <v>141</v>
      </c>
      <c r="W262" t="s">
        <v>76</v>
      </c>
      <c r="X262" t="s">
        <v>1494</v>
      </c>
      <c r="Y262" t="s">
        <v>62</v>
      </c>
      <c r="Z262" s="11">
        <v>16</v>
      </c>
      <c r="AA262" s="11">
        <v>12</v>
      </c>
      <c r="AB262" s="11">
        <v>1</v>
      </c>
      <c r="AC262" s="11">
        <f t="shared" si="53"/>
        <v>29</v>
      </c>
      <c r="AD262" s="11">
        <f t="shared" si="41"/>
        <v>1.3357899585444496E-2</v>
      </c>
      <c r="AE262" s="11">
        <f t="shared" si="42"/>
        <v>13.357899585444496</v>
      </c>
      <c r="AF262" s="11">
        <f t="shared" si="43"/>
        <v>0.55274067250115155</v>
      </c>
      <c r="AG262" s="11">
        <f t="shared" si="44"/>
        <v>4.6061722708429294E-2</v>
      </c>
      <c r="AH262" s="11">
        <f t="shared" si="45"/>
        <v>0.75</v>
      </c>
      <c r="AI262" t="s">
        <v>63</v>
      </c>
      <c r="AJ262" t="s">
        <v>62</v>
      </c>
      <c r="AK262" t="s">
        <v>1495</v>
      </c>
      <c r="AL262" t="s">
        <v>1496</v>
      </c>
      <c r="AM262" t="str">
        <f t="shared" ref="AM262:AM277" si="56">TEXT(I263,"dddd")</f>
        <v>Saturday</v>
      </c>
      <c r="AN262" t="s">
        <v>62</v>
      </c>
      <c r="AO262" s="31" t="s">
        <v>1507</v>
      </c>
      <c r="AP262" s="31" t="s">
        <v>1492</v>
      </c>
      <c r="AQ262" t="s">
        <v>63</v>
      </c>
      <c r="AR262" s="11">
        <f t="shared" si="54"/>
        <v>1.0155767423123405</v>
      </c>
    </row>
    <row r="263" spans="1:44" x14ac:dyDescent="0.3">
      <c r="A263" s="27" t="s">
        <v>1066</v>
      </c>
      <c r="B263" s="30"/>
      <c r="C263" s="22">
        <v>1</v>
      </c>
      <c r="D263" s="19">
        <v>2171</v>
      </c>
      <c r="E263" s="8" t="s">
        <v>42</v>
      </c>
      <c r="F263" t="s">
        <v>285</v>
      </c>
      <c r="G263">
        <v>2</v>
      </c>
      <c r="H263" s="13" t="s">
        <v>47</v>
      </c>
      <c r="I263" s="17">
        <v>45997</v>
      </c>
      <c r="J263" t="s">
        <v>48</v>
      </c>
      <c r="K263" s="19">
        <f t="shared" ca="1" si="55"/>
        <v>32</v>
      </c>
      <c r="L263" t="s">
        <v>1188</v>
      </c>
      <c r="M263" t="s">
        <v>164</v>
      </c>
      <c r="N263" t="s">
        <v>58</v>
      </c>
      <c r="O263" s="11">
        <v>3</v>
      </c>
      <c r="P263" t="s">
        <v>63</v>
      </c>
      <c r="Q263" t="s">
        <v>1482</v>
      </c>
      <c r="R263" s="11">
        <v>16</v>
      </c>
      <c r="S263" t="s">
        <v>61</v>
      </c>
      <c r="T263" t="s">
        <v>62</v>
      </c>
      <c r="U263" t="s">
        <v>173</v>
      </c>
      <c r="V263" t="s">
        <v>173</v>
      </c>
      <c r="W263" t="s">
        <v>173</v>
      </c>
      <c r="X263" t="s">
        <v>173</v>
      </c>
      <c r="Y263" t="s">
        <v>62</v>
      </c>
      <c r="Z263" s="11">
        <v>71</v>
      </c>
      <c r="AA263" s="11">
        <v>30</v>
      </c>
      <c r="AB263" s="11">
        <v>0</v>
      </c>
      <c r="AC263" s="11">
        <f t="shared" si="53"/>
        <v>101</v>
      </c>
      <c r="AD263" s="11">
        <f t="shared" si="41"/>
        <v>4.6522339935513586E-2</v>
      </c>
      <c r="AE263" s="11">
        <f t="shared" si="42"/>
        <v>46.522339935513585</v>
      </c>
      <c r="AF263" s="11">
        <f t="shared" si="43"/>
        <v>1.3818516812528789</v>
      </c>
      <c r="AG263" s="11">
        <f t="shared" si="44"/>
        <v>0</v>
      </c>
      <c r="AH263" s="11">
        <f t="shared" si="45"/>
        <v>0.42253521126760563</v>
      </c>
      <c r="AI263" t="s">
        <v>63</v>
      </c>
      <c r="AJ263" t="s">
        <v>62</v>
      </c>
      <c r="AK263" t="s">
        <v>1497</v>
      </c>
      <c r="AL263" t="s">
        <v>1498</v>
      </c>
      <c r="AM263" t="str">
        <f t="shared" si="56"/>
        <v>Sunday</v>
      </c>
      <c r="AN263" t="s">
        <v>62</v>
      </c>
      <c r="AO263" s="31"/>
      <c r="AP263" s="31"/>
      <c r="AQ263" t="s">
        <v>63</v>
      </c>
      <c r="AR263" s="11">
        <f t="shared" si="54"/>
        <v>1.0542500335705653</v>
      </c>
    </row>
    <row r="264" spans="1:44" x14ac:dyDescent="0.3">
      <c r="A264" s="27" t="s">
        <v>1066</v>
      </c>
      <c r="B264" s="30"/>
      <c r="C264" s="22">
        <v>1</v>
      </c>
      <c r="D264" s="19">
        <v>2171</v>
      </c>
      <c r="E264" s="8" t="s">
        <v>42</v>
      </c>
      <c r="F264" t="s">
        <v>1443</v>
      </c>
      <c r="G264">
        <v>3</v>
      </c>
      <c r="H264" s="13" t="s">
        <v>47</v>
      </c>
      <c r="I264" s="17">
        <v>45998</v>
      </c>
      <c r="J264" t="s">
        <v>48</v>
      </c>
      <c r="K264" s="19">
        <f t="shared" ca="1" si="55"/>
        <v>31</v>
      </c>
      <c r="L264" t="s">
        <v>55</v>
      </c>
      <c r="M264" t="s">
        <v>110</v>
      </c>
      <c r="N264" t="s">
        <v>58</v>
      </c>
      <c r="O264" s="11">
        <v>1</v>
      </c>
      <c r="P264" t="s">
        <v>63</v>
      </c>
      <c r="Q264" t="s">
        <v>1482</v>
      </c>
      <c r="R264" s="11">
        <v>22</v>
      </c>
      <c r="S264" t="s">
        <v>61</v>
      </c>
      <c r="T264" t="s">
        <v>63</v>
      </c>
      <c r="U264" t="s">
        <v>1499</v>
      </c>
      <c r="V264" t="s">
        <v>141</v>
      </c>
      <c r="W264" t="s">
        <v>76</v>
      </c>
      <c r="X264" t="s">
        <v>1500</v>
      </c>
      <c r="Y264" t="s">
        <v>63</v>
      </c>
      <c r="Z264" s="11">
        <v>16</v>
      </c>
      <c r="AA264" s="11">
        <v>5</v>
      </c>
      <c r="AB264" s="11">
        <v>1</v>
      </c>
      <c r="AC264" s="11">
        <f t="shared" si="53"/>
        <v>22</v>
      </c>
      <c r="AD264" s="11">
        <f t="shared" si="41"/>
        <v>1.0133578995854445E-2</v>
      </c>
      <c r="AE264" s="11">
        <f t="shared" si="42"/>
        <v>10.133578995854444</v>
      </c>
      <c r="AF264" s="11">
        <f t="shared" si="43"/>
        <v>0.23030861354214646</v>
      </c>
      <c r="AG264" s="11">
        <f t="shared" si="44"/>
        <v>4.6061722708429294E-2</v>
      </c>
      <c r="AH264" s="11">
        <f t="shared" si="45"/>
        <v>0.3125</v>
      </c>
      <c r="AI264" t="s">
        <v>62</v>
      </c>
      <c r="AJ264" t="s">
        <v>62</v>
      </c>
      <c r="AK264" t="s">
        <v>1501</v>
      </c>
      <c r="AL264" t="s">
        <v>1502</v>
      </c>
      <c r="AM264" t="str">
        <f t="shared" si="56"/>
        <v>Monday</v>
      </c>
      <c r="AN264" t="s">
        <v>62</v>
      </c>
      <c r="AO264" s="31"/>
      <c r="AP264" s="31"/>
      <c r="AQ264" t="s">
        <v>63</v>
      </c>
      <c r="AR264" s="11">
        <f t="shared" si="54"/>
        <v>1.0118168389955686</v>
      </c>
    </row>
    <row r="265" spans="1:44" x14ac:dyDescent="0.3">
      <c r="A265" s="27" t="s">
        <v>1066</v>
      </c>
      <c r="B265" s="30"/>
      <c r="C265" s="22">
        <v>1</v>
      </c>
      <c r="D265" s="19">
        <v>2171</v>
      </c>
      <c r="E265" s="8" t="s">
        <v>42</v>
      </c>
      <c r="F265" t="s">
        <v>285</v>
      </c>
      <c r="G265">
        <v>4</v>
      </c>
      <c r="H265" s="13" t="s">
        <v>47</v>
      </c>
      <c r="I265" s="17">
        <v>45999</v>
      </c>
      <c r="J265" t="s">
        <v>48</v>
      </c>
      <c r="K265" s="19">
        <f t="shared" ca="1" si="55"/>
        <v>30</v>
      </c>
      <c r="L265" t="s">
        <v>1503</v>
      </c>
      <c r="M265" t="s">
        <v>110</v>
      </c>
      <c r="N265" t="s">
        <v>58</v>
      </c>
      <c r="O265" s="11">
        <v>1</v>
      </c>
      <c r="P265" t="s">
        <v>63</v>
      </c>
      <c r="Q265" t="s">
        <v>1504</v>
      </c>
      <c r="R265" s="11">
        <v>14</v>
      </c>
      <c r="S265" t="s">
        <v>99</v>
      </c>
      <c r="T265" t="s">
        <v>63</v>
      </c>
      <c r="U265" t="s">
        <v>273</v>
      </c>
      <c r="V265" t="s">
        <v>141</v>
      </c>
      <c r="W265" t="s">
        <v>76</v>
      </c>
      <c r="X265" t="s">
        <v>1500</v>
      </c>
      <c r="Y265" t="s">
        <v>63</v>
      </c>
      <c r="Z265" s="11">
        <v>31</v>
      </c>
      <c r="AA265" s="11">
        <v>8</v>
      </c>
      <c r="AB265" s="11">
        <v>0</v>
      </c>
      <c r="AC265" s="11">
        <f t="shared" si="53"/>
        <v>39</v>
      </c>
      <c r="AD265" s="11">
        <f t="shared" si="41"/>
        <v>1.7964071856287425E-2</v>
      </c>
      <c r="AE265" s="11">
        <f t="shared" si="42"/>
        <v>17.964071856287426</v>
      </c>
      <c r="AF265" s="11">
        <f t="shared" si="43"/>
        <v>0.36849378166743435</v>
      </c>
      <c r="AG265" s="11">
        <f t="shared" si="44"/>
        <v>0</v>
      </c>
      <c r="AH265" s="11">
        <f t="shared" si="45"/>
        <v>0.25806451612903225</v>
      </c>
      <c r="AI265" t="s">
        <v>63</v>
      </c>
      <c r="AJ265" t="s">
        <v>62</v>
      </c>
      <c r="AK265" t="s">
        <v>1505</v>
      </c>
      <c r="AL265" t="s">
        <v>1506</v>
      </c>
      <c r="AM265" t="str">
        <f t="shared" si="56"/>
        <v>Saturday</v>
      </c>
      <c r="AN265" t="s">
        <v>62</v>
      </c>
      <c r="AO265" s="31"/>
      <c r="AP265" s="31"/>
      <c r="AQ265" t="s">
        <v>63</v>
      </c>
      <c r="AR265" s="11">
        <f t="shared" si="54"/>
        <v>1.0209480327648717</v>
      </c>
    </row>
    <row r="266" spans="1:44" x14ac:dyDescent="0.3">
      <c r="A266" s="27" t="s">
        <v>1067</v>
      </c>
      <c r="B266" s="30" t="s">
        <v>1089</v>
      </c>
      <c r="C266" s="22">
        <v>1</v>
      </c>
      <c r="D266" s="19">
        <v>2604</v>
      </c>
      <c r="E266" s="8" t="s">
        <v>42</v>
      </c>
      <c r="F266" t="s">
        <v>85</v>
      </c>
      <c r="G266">
        <v>1</v>
      </c>
      <c r="H266" s="13" t="s">
        <v>47</v>
      </c>
      <c r="I266" s="17">
        <v>45997</v>
      </c>
      <c r="J266" t="s">
        <v>48</v>
      </c>
      <c r="K266" s="19">
        <f t="shared" ca="1" si="55"/>
        <v>32</v>
      </c>
      <c r="L266" t="s">
        <v>55</v>
      </c>
      <c r="M266" t="s">
        <v>1447</v>
      </c>
      <c r="N266" t="s">
        <v>1446</v>
      </c>
      <c r="O266" s="11">
        <v>1</v>
      </c>
      <c r="P266" t="s">
        <v>63</v>
      </c>
      <c r="Q266" t="s">
        <v>144</v>
      </c>
      <c r="R266" s="11">
        <v>8</v>
      </c>
      <c r="S266" t="s">
        <v>75</v>
      </c>
      <c r="T266" t="s">
        <v>63</v>
      </c>
      <c r="U266" t="s">
        <v>273</v>
      </c>
      <c r="V266" t="s">
        <v>141</v>
      </c>
      <c r="W266" t="s">
        <v>76</v>
      </c>
      <c r="X266" t="s">
        <v>1448</v>
      </c>
      <c r="Y266" t="s">
        <v>63</v>
      </c>
      <c r="Z266" s="11">
        <v>4</v>
      </c>
      <c r="AA266" s="11">
        <v>1</v>
      </c>
      <c r="AB266" s="11">
        <v>1</v>
      </c>
      <c r="AC266" s="11">
        <f t="shared" si="53"/>
        <v>6</v>
      </c>
      <c r="AD266" s="11">
        <f t="shared" si="41"/>
        <v>2.304147465437788E-3</v>
      </c>
      <c r="AE266" s="11">
        <f t="shared" si="42"/>
        <v>2.3041474654377878</v>
      </c>
      <c r="AF266" s="11">
        <f t="shared" si="43"/>
        <v>3.840245775729647E-2</v>
      </c>
      <c r="AG266" s="11">
        <f t="shared" si="44"/>
        <v>3.840245775729647E-2</v>
      </c>
      <c r="AH266" s="11">
        <f t="shared" si="45"/>
        <v>0.25</v>
      </c>
      <c r="AI266" t="s">
        <v>63</v>
      </c>
      <c r="AJ266" t="s">
        <v>62</v>
      </c>
      <c r="AK266" t="s">
        <v>1449</v>
      </c>
      <c r="AL266" t="s">
        <v>1450</v>
      </c>
      <c r="AM266" t="str">
        <f t="shared" si="56"/>
        <v>Saturday</v>
      </c>
      <c r="AN266" t="s">
        <v>62</v>
      </c>
      <c r="AO266" s="31" t="s">
        <v>1451</v>
      </c>
      <c r="AP266" s="31" t="s">
        <v>55</v>
      </c>
      <c r="AQ266" t="s">
        <v>62</v>
      </c>
      <c r="AR266" s="11">
        <f t="shared" si="54"/>
        <v>1.0032227742715187</v>
      </c>
    </row>
    <row r="267" spans="1:44" x14ac:dyDescent="0.3">
      <c r="A267" s="27" t="s">
        <v>1067</v>
      </c>
      <c r="B267" s="30"/>
      <c r="C267" s="22">
        <v>1</v>
      </c>
      <c r="D267" s="19">
        <v>2604</v>
      </c>
      <c r="E267" s="8" t="s">
        <v>42</v>
      </c>
      <c r="F267" t="s">
        <v>1444</v>
      </c>
      <c r="G267">
        <v>2</v>
      </c>
      <c r="H267" s="13" t="s">
        <v>47</v>
      </c>
      <c r="I267" s="17">
        <v>45997</v>
      </c>
      <c r="J267" t="s">
        <v>48</v>
      </c>
      <c r="K267" s="19">
        <f t="shared" ca="1" si="55"/>
        <v>32</v>
      </c>
      <c r="L267" t="s">
        <v>55</v>
      </c>
      <c r="M267" t="s">
        <v>1447</v>
      </c>
      <c r="N267" t="s">
        <v>1446</v>
      </c>
      <c r="O267" s="11">
        <v>1</v>
      </c>
      <c r="P267" t="s">
        <v>63</v>
      </c>
      <c r="Q267" t="s">
        <v>144</v>
      </c>
      <c r="R267" s="11">
        <v>8</v>
      </c>
      <c r="S267" t="s">
        <v>75</v>
      </c>
      <c r="T267" t="s">
        <v>63</v>
      </c>
      <c r="U267" t="s">
        <v>273</v>
      </c>
      <c r="V267" t="s">
        <v>141</v>
      </c>
      <c r="W267" t="s">
        <v>76</v>
      </c>
      <c r="X267" t="s">
        <v>1448</v>
      </c>
      <c r="Y267" t="s">
        <v>63</v>
      </c>
      <c r="Z267" s="11">
        <v>4</v>
      </c>
      <c r="AA267" s="11">
        <v>1</v>
      </c>
      <c r="AB267" s="11">
        <v>1</v>
      </c>
      <c r="AC267" s="11">
        <f t="shared" si="53"/>
        <v>6</v>
      </c>
      <c r="AD267" s="11">
        <f t="shared" si="41"/>
        <v>2.304147465437788E-3</v>
      </c>
      <c r="AE267" s="11">
        <f t="shared" si="42"/>
        <v>2.3041474654377878</v>
      </c>
      <c r="AF267" s="11">
        <f t="shared" si="43"/>
        <v>3.840245775729647E-2</v>
      </c>
      <c r="AG267" s="11">
        <f t="shared" si="44"/>
        <v>3.840245775729647E-2</v>
      </c>
      <c r="AH267" s="11">
        <f t="shared" si="45"/>
        <v>0.25</v>
      </c>
      <c r="AI267" t="s">
        <v>63</v>
      </c>
      <c r="AJ267" t="s">
        <v>62</v>
      </c>
      <c r="AK267" t="s">
        <v>1449</v>
      </c>
      <c r="AL267" t="s">
        <v>1450</v>
      </c>
      <c r="AM267" t="str">
        <f t="shared" si="56"/>
        <v>Saturday</v>
      </c>
      <c r="AN267" t="s">
        <v>62</v>
      </c>
      <c r="AO267" s="31"/>
      <c r="AP267" s="31"/>
      <c r="AQ267" t="s">
        <v>62</v>
      </c>
      <c r="AR267" s="11">
        <f t="shared" si="54"/>
        <v>1.0032227742715187</v>
      </c>
    </row>
    <row r="268" spans="1:44" x14ac:dyDescent="0.3">
      <c r="A268" s="27" t="s">
        <v>1067</v>
      </c>
      <c r="B268" s="30"/>
      <c r="C268" s="22">
        <v>1</v>
      </c>
      <c r="D268" s="19">
        <v>2604</v>
      </c>
      <c r="E268" s="8" t="s">
        <v>42</v>
      </c>
      <c r="F268" t="s">
        <v>571</v>
      </c>
      <c r="G268">
        <v>3</v>
      </c>
      <c r="H268" s="13" t="s">
        <v>47</v>
      </c>
      <c r="I268" s="17">
        <v>46053</v>
      </c>
      <c r="J268" t="s">
        <v>48</v>
      </c>
      <c r="K268" s="19">
        <f t="shared" ca="1" si="55"/>
        <v>-24</v>
      </c>
      <c r="L268" t="s">
        <v>1451</v>
      </c>
      <c r="M268" t="s">
        <v>1452</v>
      </c>
      <c r="N268" t="s">
        <v>1446</v>
      </c>
      <c r="O268" s="11">
        <v>1</v>
      </c>
      <c r="P268" t="s">
        <v>63</v>
      </c>
      <c r="Q268" t="s">
        <v>1453</v>
      </c>
      <c r="R268" s="11">
        <v>11</v>
      </c>
      <c r="S268" t="s">
        <v>61</v>
      </c>
      <c r="T268" t="s">
        <v>63</v>
      </c>
      <c r="U268" t="s">
        <v>1454</v>
      </c>
      <c r="V268" t="s">
        <v>141</v>
      </c>
      <c r="W268" t="s">
        <v>76</v>
      </c>
      <c r="X268" t="s">
        <v>1455</v>
      </c>
      <c r="Y268" t="s">
        <v>62</v>
      </c>
      <c r="Z268" s="11">
        <v>18</v>
      </c>
      <c r="AA268" s="11">
        <v>7</v>
      </c>
      <c r="AB268" s="11">
        <v>1</v>
      </c>
      <c r="AC268" s="11">
        <f t="shared" si="53"/>
        <v>26</v>
      </c>
      <c r="AD268" s="11">
        <f t="shared" si="41"/>
        <v>9.984639016897081E-3</v>
      </c>
      <c r="AE268" s="11">
        <f t="shared" si="42"/>
        <v>9.9846390168970807</v>
      </c>
      <c r="AF268" s="11">
        <f t="shared" si="43"/>
        <v>0.26881720430107531</v>
      </c>
      <c r="AG268" s="11">
        <f t="shared" si="44"/>
        <v>3.840245775729647E-2</v>
      </c>
      <c r="AH268" s="11">
        <f t="shared" si="45"/>
        <v>0.3888888888888889</v>
      </c>
      <c r="AI268" t="s">
        <v>62</v>
      </c>
      <c r="AJ268" t="s">
        <v>62</v>
      </c>
      <c r="AK268" t="s">
        <v>1456</v>
      </c>
      <c r="AL268" t="s">
        <v>1457</v>
      </c>
      <c r="AM268" t="str">
        <f t="shared" si="56"/>
        <v>Saturday</v>
      </c>
      <c r="AN268" t="s">
        <v>62</v>
      </c>
      <c r="AO268" s="31"/>
      <c r="AP268" s="31"/>
      <c r="AQ268" t="s">
        <v>62</v>
      </c>
      <c r="AR268" s="11">
        <f t="shared" si="54"/>
        <v>1.0139653551765813</v>
      </c>
    </row>
    <row r="269" spans="1:44" x14ac:dyDescent="0.3">
      <c r="A269" s="27" t="s">
        <v>1067</v>
      </c>
      <c r="B269" s="30"/>
      <c r="C269" s="22">
        <v>1</v>
      </c>
      <c r="D269" s="19">
        <v>2604</v>
      </c>
      <c r="E269" s="8" t="s">
        <v>42</v>
      </c>
      <c r="F269" t="s">
        <v>1445</v>
      </c>
      <c r="G269">
        <v>4</v>
      </c>
      <c r="H269" s="13" t="s">
        <v>47</v>
      </c>
      <c r="I269" s="17">
        <v>46053</v>
      </c>
      <c r="J269" t="s">
        <v>48</v>
      </c>
      <c r="K269" s="19">
        <f t="shared" ca="1" si="55"/>
        <v>-24</v>
      </c>
      <c r="L269" t="s">
        <v>585</v>
      </c>
      <c r="M269" t="s">
        <v>1458</v>
      </c>
      <c r="N269" t="s">
        <v>57</v>
      </c>
      <c r="O269" s="11">
        <v>1</v>
      </c>
      <c r="P269" t="s">
        <v>62</v>
      </c>
      <c r="Q269" t="s">
        <v>1459</v>
      </c>
      <c r="R269" s="11">
        <v>14</v>
      </c>
      <c r="S269" t="s">
        <v>99</v>
      </c>
      <c r="T269" t="s">
        <v>62</v>
      </c>
      <c r="U269" t="s">
        <v>173</v>
      </c>
      <c r="V269" t="s">
        <v>173</v>
      </c>
      <c r="W269" t="s">
        <v>173</v>
      </c>
      <c r="X269" t="s">
        <v>173</v>
      </c>
      <c r="Y269" t="s">
        <v>62</v>
      </c>
      <c r="Z269" s="11">
        <v>10</v>
      </c>
      <c r="AA269" s="11">
        <v>1</v>
      </c>
      <c r="AB269" s="11">
        <v>0</v>
      </c>
      <c r="AC269" s="11">
        <f t="shared" si="53"/>
        <v>11</v>
      </c>
      <c r="AD269" s="11">
        <f t="shared" si="41"/>
        <v>4.2242703533026116E-3</v>
      </c>
      <c r="AE269" s="11">
        <f t="shared" si="42"/>
        <v>4.2242703533026118</v>
      </c>
      <c r="AF269" s="11">
        <f t="shared" si="43"/>
        <v>3.840245775729647E-2</v>
      </c>
      <c r="AG269" s="11">
        <f t="shared" si="44"/>
        <v>0</v>
      </c>
      <c r="AH269" s="11">
        <f t="shared" si="45"/>
        <v>0.1</v>
      </c>
      <c r="AI269" t="s">
        <v>62</v>
      </c>
      <c r="AJ269" t="s">
        <v>63</v>
      </c>
      <c r="AK269" t="s">
        <v>1460</v>
      </c>
      <c r="AL269" t="s">
        <v>1461</v>
      </c>
      <c r="AM269" t="str">
        <f t="shared" si="56"/>
        <v>Wednesday</v>
      </c>
      <c r="AN269" t="s">
        <v>62</v>
      </c>
      <c r="AO269" s="31"/>
      <c r="AP269" s="31"/>
      <c r="AQ269" t="s">
        <v>62</v>
      </c>
      <c r="AR269" s="11">
        <f t="shared" si="54"/>
        <v>1.0059084194977843</v>
      </c>
    </row>
    <row r="270" spans="1:44" x14ac:dyDescent="0.3">
      <c r="A270" s="27" t="s">
        <v>1068</v>
      </c>
      <c r="B270" s="30" t="s">
        <v>1090</v>
      </c>
      <c r="C270" s="22">
        <v>1</v>
      </c>
      <c r="D270" s="19">
        <v>2341</v>
      </c>
      <c r="E270" s="8" t="s">
        <v>42</v>
      </c>
      <c r="F270" t="s">
        <v>1462</v>
      </c>
      <c r="G270">
        <v>1</v>
      </c>
      <c r="H270" s="13" t="s">
        <v>47</v>
      </c>
      <c r="I270" s="17">
        <v>46029</v>
      </c>
      <c r="J270" t="s">
        <v>89</v>
      </c>
      <c r="K270" s="19">
        <f t="shared" ca="1" si="55"/>
        <v>0</v>
      </c>
      <c r="L270" t="s">
        <v>1465</v>
      </c>
      <c r="M270" t="s">
        <v>1466</v>
      </c>
      <c r="N270" t="s">
        <v>57</v>
      </c>
      <c r="O270" s="11">
        <v>1</v>
      </c>
      <c r="P270" t="s">
        <v>63</v>
      </c>
      <c r="Q270" t="s">
        <v>1453</v>
      </c>
      <c r="R270" s="11">
        <v>8</v>
      </c>
      <c r="S270" t="s">
        <v>61</v>
      </c>
      <c r="T270" t="s">
        <v>63</v>
      </c>
      <c r="U270" t="s">
        <v>273</v>
      </c>
      <c r="V270" t="s">
        <v>141</v>
      </c>
      <c r="W270" t="s">
        <v>142</v>
      </c>
      <c r="X270" t="s">
        <v>1467</v>
      </c>
      <c r="Y270" t="s">
        <v>63</v>
      </c>
      <c r="Z270" s="11">
        <v>8</v>
      </c>
      <c r="AA270" s="11">
        <v>4</v>
      </c>
      <c r="AB270" s="11">
        <v>0</v>
      </c>
      <c r="AC270" s="11">
        <f t="shared" si="53"/>
        <v>12</v>
      </c>
      <c r="AD270" s="11">
        <f t="shared" si="41"/>
        <v>5.1260145237078175E-3</v>
      </c>
      <c r="AE270" s="11">
        <f t="shared" si="42"/>
        <v>5.1260145237078172</v>
      </c>
      <c r="AF270" s="11">
        <f t="shared" si="43"/>
        <v>0.17086715079026057</v>
      </c>
      <c r="AG270" s="11">
        <f t="shared" si="44"/>
        <v>0</v>
      </c>
      <c r="AH270" s="11">
        <f t="shared" si="45"/>
        <v>0.5</v>
      </c>
      <c r="AI270" t="s">
        <v>62</v>
      </c>
      <c r="AJ270" t="s">
        <v>62</v>
      </c>
      <c r="AK270" t="s">
        <v>1468</v>
      </c>
      <c r="AL270" t="s">
        <v>1469</v>
      </c>
      <c r="AM270" t="str">
        <f t="shared" si="56"/>
        <v>Tuesday</v>
      </c>
      <c r="AN270" t="s">
        <v>63</v>
      </c>
      <c r="AO270" s="31" t="s">
        <v>1465</v>
      </c>
      <c r="AP270" s="31" t="s">
        <v>1470</v>
      </c>
      <c r="AQ270" t="s">
        <v>62</v>
      </c>
      <c r="AR270" s="11">
        <f t="shared" si="54"/>
        <v>1.0064455485430375</v>
      </c>
    </row>
    <row r="271" spans="1:44" x14ac:dyDescent="0.3">
      <c r="A271" s="27" t="s">
        <v>1068</v>
      </c>
      <c r="B271" s="30"/>
      <c r="C271" s="22">
        <v>1</v>
      </c>
      <c r="D271" s="19">
        <v>2341</v>
      </c>
      <c r="E271" s="8" t="s">
        <v>42</v>
      </c>
      <c r="F271" t="s">
        <v>1463</v>
      </c>
      <c r="G271">
        <v>2</v>
      </c>
      <c r="H271" s="13" t="s">
        <v>47</v>
      </c>
      <c r="I271" s="17">
        <v>46028</v>
      </c>
      <c r="J271" t="s">
        <v>89</v>
      </c>
      <c r="K271" s="19">
        <f t="shared" ca="1" si="55"/>
        <v>1</v>
      </c>
      <c r="L271" t="s">
        <v>1470</v>
      </c>
      <c r="M271" t="s">
        <v>1471</v>
      </c>
      <c r="N271" t="s">
        <v>57</v>
      </c>
      <c r="O271" s="11">
        <v>1</v>
      </c>
      <c r="P271" t="s">
        <v>63</v>
      </c>
      <c r="Q271" t="s">
        <v>1453</v>
      </c>
      <c r="R271" s="11">
        <v>10</v>
      </c>
      <c r="S271" t="s">
        <v>61</v>
      </c>
      <c r="T271" t="s">
        <v>62</v>
      </c>
      <c r="U271" t="s">
        <v>173</v>
      </c>
      <c r="V271" t="s">
        <v>173</v>
      </c>
      <c r="W271" t="s">
        <v>173</v>
      </c>
      <c r="X271" t="s">
        <v>173</v>
      </c>
      <c r="Y271" t="s">
        <v>62</v>
      </c>
      <c r="Z271" s="11">
        <v>6</v>
      </c>
      <c r="AA271" s="11">
        <v>0</v>
      </c>
      <c r="AB271" s="11">
        <v>0</v>
      </c>
      <c r="AC271" s="11">
        <f t="shared" si="53"/>
        <v>6</v>
      </c>
      <c r="AD271" s="11">
        <f t="shared" si="41"/>
        <v>2.5630072618539087E-3</v>
      </c>
      <c r="AE271" s="11">
        <f t="shared" si="42"/>
        <v>2.5630072618539086</v>
      </c>
      <c r="AF271" s="11">
        <f t="shared" si="43"/>
        <v>0</v>
      </c>
      <c r="AG271" s="11">
        <f t="shared" si="44"/>
        <v>0</v>
      </c>
      <c r="AH271" s="11">
        <f t="shared" si="45"/>
        <v>0</v>
      </c>
      <c r="AI271" t="s">
        <v>62</v>
      </c>
      <c r="AJ271" t="s">
        <v>63</v>
      </c>
      <c r="AK271" t="s">
        <v>1472</v>
      </c>
      <c r="AL271" t="s">
        <v>1473</v>
      </c>
      <c r="AM271" t="str">
        <f t="shared" si="56"/>
        <v>Monday</v>
      </c>
      <c r="AN271" t="s">
        <v>63</v>
      </c>
      <c r="AO271" s="31"/>
      <c r="AP271" s="31"/>
      <c r="AQ271" t="s">
        <v>62</v>
      </c>
      <c r="AR271" s="11">
        <f t="shared" si="54"/>
        <v>1.0032227742715187</v>
      </c>
    </row>
    <row r="272" spans="1:44" x14ac:dyDescent="0.3">
      <c r="A272" s="27" t="s">
        <v>1068</v>
      </c>
      <c r="B272" s="30"/>
      <c r="C272" s="22">
        <v>1</v>
      </c>
      <c r="D272" s="19">
        <v>2341</v>
      </c>
      <c r="E272" s="8" t="s">
        <v>42</v>
      </c>
      <c r="F272" t="s">
        <v>1464</v>
      </c>
      <c r="G272">
        <v>3</v>
      </c>
      <c r="H272" s="13" t="s">
        <v>47</v>
      </c>
      <c r="I272" s="17">
        <v>46027</v>
      </c>
      <c r="J272" t="s">
        <v>89</v>
      </c>
      <c r="K272" s="19">
        <f t="shared" ca="1" si="55"/>
        <v>2</v>
      </c>
      <c r="L272" t="s">
        <v>55</v>
      </c>
      <c r="M272" t="s">
        <v>286</v>
      </c>
      <c r="N272" t="s">
        <v>58</v>
      </c>
      <c r="O272" s="11">
        <v>1</v>
      </c>
      <c r="P272" t="s">
        <v>63</v>
      </c>
      <c r="Q272" t="s">
        <v>1474</v>
      </c>
      <c r="R272" s="11">
        <v>4</v>
      </c>
      <c r="S272" t="s">
        <v>99</v>
      </c>
      <c r="T272" t="s">
        <v>62</v>
      </c>
      <c r="U272" t="s">
        <v>173</v>
      </c>
      <c r="V272" t="s">
        <v>173</v>
      </c>
      <c r="W272" t="s">
        <v>173</v>
      </c>
      <c r="X272" t="s">
        <v>173</v>
      </c>
      <c r="Y272" t="s">
        <v>62</v>
      </c>
      <c r="Z272" s="11">
        <v>8</v>
      </c>
      <c r="AA272" s="11">
        <v>2</v>
      </c>
      <c r="AB272" s="11">
        <v>0</v>
      </c>
      <c r="AC272" s="11">
        <f t="shared" si="53"/>
        <v>10</v>
      </c>
      <c r="AD272" s="11">
        <f t="shared" si="41"/>
        <v>4.2716787697565147E-3</v>
      </c>
      <c r="AE272" s="11">
        <f t="shared" si="42"/>
        <v>4.2716787697565151</v>
      </c>
      <c r="AF272" s="11">
        <f t="shared" si="43"/>
        <v>8.5433575395130287E-2</v>
      </c>
      <c r="AG272" s="11">
        <f t="shared" si="44"/>
        <v>0</v>
      </c>
      <c r="AH272" s="11">
        <f t="shared" si="45"/>
        <v>0.25</v>
      </c>
      <c r="AI272" t="s">
        <v>62</v>
      </c>
      <c r="AJ272" t="s">
        <v>62</v>
      </c>
      <c r="AK272" t="s">
        <v>1475</v>
      </c>
      <c r="AL272" t="s">
        <v>1476</v>
      </c>
      <c r="AM272" t="str">
        <f t="shared" si="56"/>
        <v>Friday</v>
      </c>
      <c r="AN272" t="s">
        <v>63</v>
      </c>
      <c r="AO272" s="31"/>
      <c r="AP272" s="31"/>
      <c r="AQ272" t="s">
        <v>62</v>
      </c>
      <c r="AR272" s="11">
        <f t="shared" si="54"/>
        <v>1.0053712904525312</v>
      </c>
    </row>
    <row r="273" spans="1:44" x14ac:dyDescent="0.3">
      <c r="A273" s="27" t="s">
        <v>1068</v>
      </c>
      <c r="B273" s="30"/>
      <c r="C273" s="22">
        <v>1</v>
      </c>
      <c r="D273" s="19">
        <v>2341</v>
      </c>
      <c r="E273" s="8" t="s">
        <v>42</v>
      </c>
      <c r="F273" t="s">
        <v>569</v>
      </c>
      <c r="G273">
        <v>4</v>
      </c>
      <c r="H273" s="13" t="s">
        <v>47</v>
      </c>
      <c r="I273" s="17">
        <v>46024</v>
      </c>
      <c r="J273" t="s">
        <v>89</v>
      </c>
      <c r="K273" s="19">
        <f t="shared" ca="1" si="55"/>
        <v>5</v>
      </c>
      <c r="L273" t="s">
        <v>55</v>
      </c>
      <c r="M273" t="s">
        <v>286</v>
      </c>
      <c r="N273" s="28" t="s">
        <v>58</v>
      </c>
      <c r="O273" s="11">
        <v>1</v>
      </c>
      <c r="P273" t="s">
        <v>63</v>
      </c>
      <c r="Q273" t="s">
        <v>1388</v>
      </c>
      <c r="R273" s="11">
        <v>11</v>
      </c>
      <c r="S273" t="s">
        <v>61</v>
      </c>
      <c r="T273" t="s">
        <v>171</v>
      </c>
      <c r="U273" t="s">
        <v>173</v>
      </c>
      <c r="V273" t="s">
        <v>173</v>
      </c>
      <c r="W273" t="s">
        <v>173</v>
      </c>
      <c r="X273" t="s">
        <v>173</v>
      </c>
      <c r="Y273" t="s">
        <v>62</v>
      </c>
      <c r="Z273" s="11">
        <v>8</v>
      </c>
      <c r="AA273" s="11">
        <v>0</v>
      </c>
      <c r="AB273" s="11">
        <v>0</v>
      </c>
      <c r="AC273" s="11">
        <f t="shared" si="53"/>
        <v>8</v>
      </c>
      <c r="AD273" s="11">
        <f t="shared" si="41"/>
        <v>3.4173430158052115E-3</v>
      </c>
      <c r="AE273" s="11">
        <f t="shared" si="42"/>
        <v>3.4173430158052116</v>
      </c>
      <c r="AF273" s="11">
        <f t="shared" si="43"/>
        <v>0</v>
      </c>
      <c r="AG273" s="11">
        <f t="shared" si="44"/>
        <v>0</v>
      </c>
      <c r="AH273" s="11">
        <f t="shared" si="45"/>
        <v>0</v>
      </c>
      <c r="AI273" t="s">
        <v>62</v>
      </c>
      <c r="AJ273" t="s">
        <v>63</v>
      </c>
      <c r="AK273" t="s">
        <v>1478</v>
      </c>
      <c r="AL273" t="s">
        <v>1477</v>
      </c>
      <c r="AM273" t="str">
        <f t="shared" si="56"/>
        <v>Thursday</v>
      </c>
      <c r="AN273" t="s">
        <v>63</v>
      </c>
      <c r="AO273" s="31"/>
      <c r="AP273" s="31"/>
      <c r="AQ273" t="s">
        <v>62</v>
      </c>
      <c r="AR273" s="11">
        <f t="shared" si="54"/>
        <v>1.0042970323620251</v>
      </c>
    </row>
    <row r="274" spans="1:44" x14ac:dyDescent="0.3">
      <c r="A274" s="27" t="s">
        <v>1069</v>
      </c>
      <c r="B274" s="30" t="s">
        <v>1091</v>
      </c>
      <c r="C274" s="22">
        <v>10</v>
      </c>
      <c r="D274" s="19">
        <v>6728</v>
      </c>
      <c r="E274" s="8" t="s">
        <v>42</v>
      </c>
      <c r="F274" t="s">
        <v>1479</v>
      </c>
      <c r="G274">
        <v>1</v>
      </c>
      <c r="H274" s="13" t="s">
        <v>47</v>
      </c>
      <c r="I274" s="17">
        <v>46023</v>
      </c>
      <c r="J274" t="s">
        <v>48</v>
      </c>
      <c r="K274" s="19">
        <f t="shared" ca="1" si="55"/>
        <v>6</v>
      </c>
      <c r="L274" t="s">
        <v>832</v>
      </c>
      <c r="M274" t="s">
        <v>286</v>
      </c>
      <c r="N274" s="28" t="s">
        <v>58</v>
      </c>
      <c r="O274" s="11">
        <v>1</v>
      </c>
      <c r="P274" t="s">
        <v>63</v>
      </c>
      <c r="Q274" t="s">
        <v>1482</v>
      </c>
      <c r="R274" s="11">
        <v>6</v>
      </c>
      <c r="S274" t="s">
        <v>75</v>
      </c>
      <c r="T274" t="s">
        <v>62</v>
      </c>
      <c r="U274" t="s">
        <v>173</v>
      </c>
      <c r="V274" t="s">
        <v>173</v>
      </c>
      <c r="W274" t="s">
        <v>173</v>
      </c>
      <c r="X274" t="s">
        <v>173</v>
      </c>
      <c r="Y274" t="s">
        <v>62</v>
      </c>
      <c r="Z274" s="11">
        <v>50</v>
      </c>
      <c r="AA274" s="11">
        <v>3</v>
      </c>
      <c r="AB274" s="11">
        <v>0</v>
      </c>
      <c r="AC274" s="11">
        <f t="shared" si="53"/>
        <v>53</v>
      </c>
      <c r="AD274" s="11">
        <f t="shared" si="41"/>
        <v>7.8775267538644476E-3</v>
      </c>
      <c r="AE274" s="11">
        <f t="shared" si="42"/>
        <v>7.8775267538644478</v>
      </c>
      <c r="AF274" s="11">
        <f t="shared" si="43"/>
        <v>4.4589774078478001E-2</v>
      </c>
      <c r="AG274" s="11">
        <f t="shared" si="44"/>
        <v>0</v>
      </c>
      <c r="AH274" s="11">
        <f t="shared" si="45"/>
        <v>0.06</v>
      </c>
      <c r="AI274" t="s">
        <v>63</v>
      </c>
      <c r="AJ274" t="s">
        <v>62</v>
      </c>
      <c r="AK274" t="s">
        <v>1483</v>
      </c>
      <c r="AL274" t="s">
        <v>1484</v>
      </c>
      <c r="AM274" t="str">
        <f t="shared" si="56"/>
        <v>Thursday</v>
      </c>
      <c r="AN274" t="s">
        <v>62</v>
      </c>
      <c r="AO274" s="31" t="s">
        <v>1488</v>
      </c>
      <c r="AP274" s="31" t="s">
        <v>832</v>
      </c>
      <c r="AQ274" t="s">
        <v>62</v>
      </c>
      <c r="AR274" s="11">
        <f t="shared" si="54"/>
        <v>1.0284678393984155</v>
      </c>
    </row>
    <row r="275" spans="1:44" x14ac:dyDescent="0.3">
      <c r="A275" s="27" t="s">
        <v>1069</v>
      </c>
      <c r="B275" s="30"/>
      <c r="C275" s="22">
        <v>10</v>
      </c>
      <c r="D275" s="19">
        <v>6728</v>
      </c>
      <c r="E275" s="8" t="s">
        <v>42</v>
      </c>
      <c r="F275" t="s">
        <v>1480</v>
      </c>
      <c r="G275">
        <v>2</v>
      </c>
      <c r="H275" s="13" t="s">
        <v>47</v>
      </c>
      <c r="I275" s="17">
        <v>46016</v>
      </c>
      <c r="J275" t="s">
        <v>48</v>
      </c>
      <c r="K275" s="19">
        <f t="shared" ca="1" si="55"/>
        <v>13</v>
      </c>
      <c r="L275" t="s">
        <v>832</v>
      </c>
      <c r="M275" t="s">
        <v>286</v>
      </c>
      <c r="N275" s="28" t="s">
        <v>58</v>
      </c>
      <c r="O275" s="11">
        <v>1</v>
      </c>
      <c r="P275" t="s">
        <v>63</v>
      </c>
      <c r="Q275" t="s">
        <v>1485</v>
      </c>
      <c r="R275" s="11">
        <v>10</v>
      </c>
      <c r="S275" t="s">
        <v>61</v>
      </c>
      <c r="T275" t="s">
        <v>62</v>
      </c>
      <c r="U275" t="s">
        <v>173</v>
      </c>
      <c r="V275" t="s">
        <v>173</v>
      </c>
      <c r="W275" t="s">
        <v>173</v>
      </c>
      <c r="X275" t="s">
        <v>173</v>
      </c>
      <c r="Y275" t="s">
        <v>62</v>
      </c>
      <c r="Z275" s="11">
        <v>78</v>
      </c>
      <c r="AA275" s="11">
        <v>2</v>
      </c>
      <c r="AB275" s="11">
        <v>0</v>
      </c>
      <c r="AC275" s="11">
        <f t="shared" si="53"/>
        <v>80</v>
      </c>
      <c r="AD275" s="11">
        <f t="shared" si="41"/>
        <v>1.1890606420927468E-2</v>
      </c>
      <c r="AE275" s="11">
        <f t="shared" si="42"/>
        <v>11.890606420927467</v>
      </c>
      <c r="AF275" s="11">
        <f t="shared" si="43"/>
        <v>2.9726516052318665E-2</v>
      </c>
      <c r="AG275" s="11">
        <f t="shared" si="44"/>
        <v>0</v>
      </c>
      <c r="AH275" s="11">
        <f t="shared" si="45"/>
        <v>2.564102564102564E-2</v>
      </c>
      <c r="AI275" t="s">
        <v>62</v>
      </c>
      <c r="AJ275" t="s">
        <v>62</v>
      </c>
      <c r="AK275" t="s">
        <v>1486</v>
      </c>
      <c r="AL275" t="s">
        <v>1487</v>
      </c>
      <c r="AM275" t="str">
        <f t="shared" si="56"/>
        <v>Sunday</v>
      </c>
      <c r="AN275" t="s">
        <v>62</v>
      </c>
      <c r="AO275" s="31"/>
      <c r="AP275" s="31"/>
      <c r="AQ275" t="s">
        <v>62</v>
      </c>
      <c r="AR275" s="11">
        <f t="shared" si="54"/>
        <v>1.0429703236202497</v>
      </c>
    </row>
    <row r="276" spans="1:44" x14ac:dyDescent="0.3">
      <c r="A276" s="27" t="s">
        <v>1069</v>
      </c>
      <c r="B276" s="30"/>
      <c r="C276" s="22">
        <v>10</v>
      </c>
      <c r="D276" s="19">
        <v>6728</v>
      </c>
      <c r="E276" s="8" t="s">
        <v>42</v>
      </c>
      <c r="F276" t="s">
        <v>1481</v>
      </c>
      <c r="G276">
        <v>3</v>
      </c>
      <c r="H276" s="13" t="s">
        <v>47</v>
      </c>
      <c r="I276" s="17">
        <v>45998</v>
      </c>
      <c r="J276" t="s">
        <v>48</v>
      </c>
      <c r="K276" s="19">
        <f t="shared" ca="1" si="55"/>
        <v>31</v>
      </c>
      <c r="L276" t="s">
        <v>1488</v>
      </c>
      <c r="M276" t="s">
        <v>111</v>
      </c>
      <c r="N276" s="28" t="s">
        <v>58</v>
      </c>
      <c r="O276" s="11">
        <v>2</v>
      </c>
      <c r="P276" t="s">
        <v>63</v>
      </c>
      <c r="Q276" t="s">
        <v>1489</v>
      </c>
      <c r="R276" s="11">
        <v>14</v>
      </c>
      <c r="S276" t="s">
        <v>61</v>
      </c>
      <c r="T276" t="s">
        <v>62</v>
      </c>
      <c r="U276" t="s">
        <v>173</v>
      </c>
      <c r="V276" t="s">
        <v>173</v>
      </c>
      <c r="W276" t="s">
        <v>173</v>
      </c>
      <c r="X276" t="s">
        <v>173</v>
      </c>
      <c r="Y276" t="s">
        <v>62</v>
      </c>
      <c r="Z276" s="11">
        <v>102</v>
      </c>
      <c r="AA276" s="11">
        <v>2</v>
      </c>
      <c r="AB276" s="11">
        <v>1</v>
      </c>
      <c r="AC276" s="11">
        <f t="shared" si="53"/>
        <v>105</v>
      </c>
      <c r="AD276" s="11">
        <f t="shared" si="41"/>
        <v>1.56064209274673E-2</v>
      </c>
      <c r="AE276" s="11">
        <f t="shared" si="42"/>
        <v>15.606420927467299</v>
      </c>
      <c r="AF276" s="11">
        <f t="shared" si="43"/>
        <v>2.9726516052318665E-2</v>
      </c>
      <c r="AG276" s="11">
        <f t="shared" si="44"/>
        <v>1.4863258026159332E-2</v>
      </c>
      <c r="AH276" s="11">
        <f t="shared" si="45"/>
        <v>1.9607843137254902E-2</v>
      </c>
      <c r="AI276" t="s">
        <v>62</v>
      </c>
      <c r="AJ276" t="s">
        <v>63</v>
      </c>
      <c r="AK276" t="s">
        <v>1490</v>
      </c>
      <c r="AL276" t="s">
        <v>1491</v>
      </c>
      <c r="AM276" t="str">
        <f t="shared" si="56"/>
        <v>Sunday</v>
      </c>
      <c r="AN276" t="s">
        <v>62</v>
      </c>
      <c r="AO276" s="31"/>
      <c r="AP276" s="31"/>
      <c r="AQ276" t="s">
        <v>62</v>
      </c>
      <c r="AR276" s="11">
        <f t="shared" si="54"/>
        <v>1.0563985497515778</v>
      </c>
    </row>
    <row r="277" spans="1:44" x14ac:dyDescent="0.3">
      <c r="A277" s="27" t="s">
        <v>1069</v>
      </c>
      <c r="B277" s="30"/>
      <c r="C277" s="22">
        <v>10</v>
      </c>
      <c r="D277" s="19">
        <v>6728</v>
      </c>
      <c r="E277" s="8" t="s">
        <v>42</v>
      </c>
      <c r="F277" t="s">
        <v>85</v>
      </c>
      <c r="G277">
        <v>4</v>
      </c>
      <c r="H277" s="13" t="s">
        <v>47</v>
      </c>
      <c r="I277" s="17">
        <v>45998</v>
      </c>
      <c r="J277" t="s">
        <v>48</v>
      </c>
      <c r="K277" s="19">
        <f t="shared" ca="1" si="55"/>
        <v>31</v>
      </c>
      <c r="L277" t="s">
        <v>1488</v>
      </c>
      <c r="M277" t="s">
        <v>111</v>
      </c>
      <c r="N277" s="28" t="s">
        <v>58</v>
      </c>
      <c r="O277" s="11">
        <v>2</v>
      </c>
      <c r="P277" t="s">
        <v>63</v>
      </c>
      <c r="Q277" t="s">
        <v>1489</v>
      </c>
      <c r="R277" s="11">
        <v>14</v>
      </c>
      <c r="S277" t="s">
        <v>61</v>
      </c>
      <c r="T277" t="s">
        <v>62</v>
      </c>
      <c r="U277" t="s">
        <v>173</v>
      </c>
      <c r="V277" t="s">
        <v>173</v>
      </c>
      <c r="W277" t="s">
        <v>173</v>
      </c>
      <c r="X277" t="s">
        <v>173</v>
      </c>
      <c r="Y277" t="s">
        <v>62</v>
      </c>
      <c r="Z277" s="11">
        <v>102</v>
      </c>
      <c r="AA277" s="11">
        <v>2</v>
      </c>
      <c r="AB277" s="11">
        <v>1</v>
      </c>
      <c r="AC277" s="11">
        <f t="shared" si="53"/>
        <v>105</v>
      </c>
      <c r="AD277" s="11">
        <f t="shared" si="41"/>
        <v>1.56064209274673E-2</v>
      </c>
      <c r="AE277" s="11">
        <f t="shared" si="42"/>
        <v>15.606420927467299</v>
      </c>
      <c r="AF277" s="11">
        <f t="shared" si="43"/>
        <v>2.9726516052318665E-2</v>
      </c>
      <c r="AG277" s="11">
        <f t="shared" si="44"/>
        <v>1.4863258026159332E-2</v>
      </c>
      <c r="AH277" s="11">
        <f t="shared" si="45"/>
        <v>1.9607843137254902E-2</v>
      </c>
      <c r="AI277" t="s">
        <v>62</v>
      </c>
      <c r="AJ277" t="s">
        <v>63</v>
      </c>
      <c r="AK277" t="s">
        <v>1490</v>
      </c>
      <c r="AL277" t="s">
        <v>1491</v>
      </c>
      <c r="AM277" t="str">
        <f t="shared" si="56"/>
        <v>Saturday</v>
      </c>
      <c r="AN277" t="s">
        <v>62</v>
      </c>
      <c r="AO277" s="31"/>
      <c r="AP277" s="31"/>
      <c r="AQ277" t="s">
        <v>62</v>
      </c>
      <c r="AR277" s="11">
        <f t="shared" si="54"/>
        <v>1.0563985497515778</v>
      </c>
    </row>
    <row r="278" spans="1:44" x14ac:dyDescent="0.3">
      <c r="A278" s="27"/>
      <c r="B278" s="30"/>
      <c r="E278" s="8"/>
    </row>
    <row r="279" spans="1:44" x14ac:dyDescent="0.3">
      <c r="A279" s="27"/>
      <c r="B279" s="30"/>
      <c r="E279" s="8"/>
    </row>
    <row r="280" spans="1:44" x14ac:dyDescent="0.3">
      <c r="A280" s="27"/>
      <c r="B280" s="30"/>
      <c r="E280" s="8"/>
    </row>
    <row r="281" spans="1:44" x14ac:dyDescent="0.3">
      <c r="A281" s="27"/>
      <c r="B281" s="30"/>
      <c r="E281" s="8"/>
    </row>
    <row r="282" spans="1:44" x14ac:dyDescent="0.3">
      <c r="A282" s="27"/>
      <c r="B282" s="30"/>
      <c r="E282" s="8"/>
    </row>
    <row r="283" spans="1:44" x14ac:dyDescent="0.3">
      <c r="A283" s="27"/>
      <c r="B283" s="30"/>
      <c r="E283" s="8"/>
    </row>
    <row r="284" spans="1:44" x14ac:dyDescent="0.3">
      <c r="A284" s="27"/>
      <c r="B284" s="30"/>
      <c r="E284" s="8"/>
    </row>
    <row r="285" spans="1:44" x14ac:dyDescent="0.3">
      <c r="A285" s="27"/>
      <c r="B285" s="30"/>
      <c r="E285" s="8"/>
    </row>
  </sheetData>
  <mergeCells count="209">
    <mergeCell ref="AO262:AO265"/>
    <mergeCell ref="AO266:AO269"/>
    <mergeCell ref="AP266:AP269"/>
    <mergeCell ref="AP262:AP265"/>
    <mergeCell ref="AO270:AO273"/>
    <mergeCell ref="AO274:AO277"/>
    <mergeCell ref="AP270:AP273"/>
    <mergeCell ref="AP274:AP277"/>
    <mergeCell ref="AO250:AO253"/>
    <mergeCell ref="AO254:AO257"/>
    <mergeCell ref="AP246:AP249"/>
    <mergeCell ref="AP250:AP253"/>
    <mergeCell ref="AP254:AP257"/>
    <mergeCell ref="AP258:AP261"/>
    <mergeCell ref="AO258:AO261"/>
    <mergeCell ref="AO230:AO233"/>
    <mergeCell ref="AP230:AP233"/>
    <mergeCell ref="AO234:AO237"/>
    <mergeCell ref="AP234:AP237"/>
    <mergeCell ref="AO238:AO241"/>
    <mergeCell ref="AP238:AP241"/>
    <mergeCell ref="AO242:AO245"/>
    <mergeCell ref="AP242:AP245"/>
    <mergeCell ref="AO246:AO249"/>
    <mergeCell ref="AO210:AO213"/>
    <mergeCell ref="AP210:AP213"/>
    <mergeCell ref="AO214:AO217"/>
    <mergeCell ref="AP214:AP217"/>
    <mergeCell ref="AO218:AO221"/>
    <mergeCell ref="AP218:AP221"/>
    <mergeCell ref="AP222:AP225"/>
    <mergeCell ref="AO222:AO225"/>
    <mergeCell ref="AO226:AO229"/>
    <mergeCell ref="AP226:AP229"/>
    <mergeCell ref="AP122:AP125"/>
    <mergeCell ref="AP126:AP129"/>
    <mergeCell ref="AP130:AP133"/>
    <mergeCell ref="AP134:AP137"/>
    <mergeCell ref="AP138:AP141"/>
    <mergeCell ref="AP142:AP145"/>
    <mergeCell ref="AP146:AP149"/>
    <mergeCell ref="AP150:AP153"/>
    <mergeCell ref="AP154:AP157"/>
    <mergeCell ref="AO154:AO157"/>
    <mergeCell ref="AO158:AO161"/>
    <mergeCell ref="AO162:AO165"/>
    <mergeCell ref="AO166:AO169"/>
    <mergeCell ref="AO170:AO173"/>
    <mergeCell ref="AO174:AO177"/>
    <mergeCell ref="AO178:AO181"/>
    <mergeCell ref="AP158:AP161"/>
    <mergeCell ref="AP162:AP165"/>
    <mergeCell ref="AP166:AP169"/>
    <mergeCell ref="AP170:AP173"/>
    <mergeCell ref="AP174:AP177"/>
    <mergeCell ref="AP178:AP181"/>
    <mergeCell ref="AP94:AP97"/>
    <mergeCell ref="AP98:AP101"/>
    <mergeCell ref="AP102:AP105"/>
    <mergeCell ref="AP106:AP109"/>
    <mergeCell ref="AP110:AP113"/>
    <mergeCell ref="AP114:AP117"/>
    <mergeCell ref="AP118:AP121"/>
    <mergeCell ref="AO58:AO61"/>
    <mergeCell ref="AO62:AO65"/>
    <mergeCell ref="AO66:AO69"/>
    <mergeCell ref="AO70:AO73"/>
    <mergeCell ref="AP58:AP61"/>
    <mergeCell ref="AP62:AP65"/>
    <mergeCell ref="AP66:AP69"/>
    <mergeCell ref="AP70:AP73"/>
    <mergeCell ref="AP74:AP77"/>
    <mergeCell ref="AP78:AP81"/>
    <mergeCell ref="AP82:AP85"/>
    <mergeCell ref="AP86:AP89"/>
    <mergeCell ref="AP90:AP93"/>
    <mergeCell ref="B102:B105"/>
    <mergeCell ref="B106:B109"/>
    <mergeCell ref="B110:B113"/>
    <mergeCell ref="B114:B117"/>
    <mergeCell ref="B118:B121"/>
    <mergeCell ref="B122:B125"/>
    <mergeCell ref="AO74:AO77"/>
    <mergeCell ref="AO78:AO81"/>
    <mergeCell ref="AO82:AO85"/>
    <mergeCell ref="AO86:AO89"/>
    <mergeCell ref="AO90:AO93"/>
    <mergeCell ref="AO94:AO97"/>
    <mergeCell ref="AO98:AO101"/>
    <mergeCell ref="AO102:AO105"/>
    <mergeCell ref="AO106:AO109"/>
    <mergeCell ref="AO110:AO113"/>
    <mergeCell ref="AO114:AO117"/>
    <mergeCell ref="AO118:AO121"/>
    <mergeCell ref="AO122:AO125"/>
    <mergeCell ref="B78:B81"/>
    <mergeCell ref="B82:B85"/>
    <mergeCell ref="B86:B89"/>
    <mergeCell ref="B90:B93"/>
    <mergeCell ref="B94:B97"/>
    <mergeCell ref="B38:B41"/>
    <mergeCell ref="AO22:AO25"/>
    <mergeCell ref="B22:B25"/>
    <mergeCell ref="AO26:AO29"/>
    <mergeCell ref="AO50:AO53"/>
    <mergeCell ref="AO54:AO57"/>
    <mergeCell ref="AP54:AP57"/>
    <mergeCell ref="AP50:AP53"/>
    <mergeCell ref="AO42:AO45"/>
    <mergeCell ref="AP42:AP45"/>
    <mergeCell ref="AO38:AO41"/>
    <mergeCell ref="AP38:AP41"/>
    <mergeCell ref="AO46:AO49"/>
    <mergeCell ref="AP46:AP49"/>
    <mergeCell ref="B18:B21"/>
    <mergeCell ref="AO18:AO21"/>
    <mergeCell ref="AP18:AP21"/>
    <mergeCell ref="AP22:AP25"/>
    <mergeCell ref="AP26:AP29"/>
    <mergeCell ref="AO30:AO33"/>
    <mergeCell ref="AP30:AP33"/>
    <mergeCell ref="AO34:AO37"/>
    <mergeCell ref="AP34:AP37"/>
    <mergeCell ref="B26:B29"/>
    <mergeCell ref="B30:B33"/>
    <mergeCell ref="B34:B37"/>
    <mergeCell ref="B10:B13"/>
    <mergeCell ref="AO10:AO13"/>
    <mergeCell ref="AO14:AO17"/>
    <mergeCell ref="AP10:AP13"/>
    <mergeCell ref="AP2:AP5"/>
    <mergeCell ref="B6:B9"/>
    <mergeCell ref="AO2:AO5"/>
    <mergeCell ref="AO6:AO9"/>
    <mergeCell ref="AP6:AP9"/>
    <mergeCell ref="B2:B5"/>
    <mergeCell ref="B14:B17"/>
    <mergeCell ref="AP14:AP17"/>
    <mergeCell ref="B98:B10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182:B185"/>
    <mergeCell ref="AO182:AO185"/>
    <mergeCell ref="AP182:AP18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AO126:AO129"/>
    <mergeCell ref="AO130:AO133"/>
    <mergeCell ref="AO134:AO137"/>
    <mergeCell ref="AO138:AO141"/>
    <mergeCell ref="AO142:AO145"/>
    <mergeCell ref="AO146:AO149"/>
    <mergeCell ref="AO150:AO153"/>
    <mergeCell ref="B242:B245"/>
    <mergeCell ref="B246:B249"/>
    <mergeCell ref="B250:B253"/>
    <mergeCell ref="B254:B257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58:B261"/>
    <mergeCell ref="B262:B265"/>
    <mergeCell ref="B266:B269"/>
    <mergeCell ref="B270:B273"/>
    <mergeCell ref="B274:B277"/>
    <mergeCell ref="B278:B281"/>
    <mergeCell ref="B282:B285"/>
    <mergeCell ref="AO186:AO189"/>
    <mergeCell ref="AP186:AP189"/>
    <mergeCell ref="AO190:AO193"/>
    <mergeCell ref="AP190:AP193"/>
    <mergeCell ref="AO194:AO197"/>
    <mergeCell ref="AP194:AP197"/>
    <mergeCell ref="AO198:AO201"/>
    <mergeCell ref="AP198:AP201"/>
    <mergeCell ref="AO202:AO205"/>
    <mergeCell ref="AP202:AP205"/>
    <mergeCell ref="AO206:AO209"/>
    <mergeCell ref="AP206:AP209"/>
    <mergeCell ref="B222:B225"/>
    <mergeCell ref="B226:B229"/>
    <mergeCell ref="B230:B233"/>
    <mergeCell ref="B234:B237"/>
    <mergeCell ref="B238:B241"/>
  </mergeCells>
  <hyperlinks>
    <hyperlink ref="B2" r:id="rId1" xr:uid="{3F828A50-D1AB-4876-A137-EA73383A6751}"/>
    <hyperlink ref="H2" r:id="rId2" xr:uid="{7D724013-C171-4391-9FFC-744498FBAF6C}"/>
    <hyperlink ref="H3" r:id="rId3" xr:uid="{BB7A17D5-B493-4888-B032-F7F71AB9D81D}"/>
    <hyperlink ref="H4" r:id="rId4" xr:uid="{986DB443-3EB2-4931-BA28-E0BD8308E7A7}"/>
    <hyperlink ref="H5" r:id="rId5" xr:uid="{69DD672D-50AC-4AFC-A1B1-CEF4EE9956FD}"/>
    <hyperlink ref="H6" r:id="rId6" xr:uid="{C3C57138-3751-4A4C-B7CE-1F290A8A2363}"/>
    <hyperlink ref="H7" r:id="rId7" xr:uid="{C023F282-D3C9-4A80-9FCD-94B9E281E2A9}"/>
    <hyperlink ref="H8" r:id="rId8" xr:uid="{3940127D-76D4-4372-BAE5-39DFE7588973}"/>
    <hyperlink ref="H9" r:id="rId9" xr:uid="{D0C7253B-1D1E-4280-8A89-A210CA0E4489}"/>
    <hyperlink ref="B10" r:id="rId10" xr:uid="{CA49C6CA-2767-43B5-AACF-D1D46B134834}"/>
    <hyperlink ref="H10" r:id="rId11" xr:uid="{56A0D97A-5923-4B98-ACC3-331F039BE355}"/>
    <hyperlink ref="H11" r:id="rId12" xr:uid="{2CDD5C1B-830D-4BB6-8464-B49C2F449EC7}"/>
    <hyperlink ref="H12" r:id="rId13" xr:uid="{58C6B893-2578-46EF-9696-ADA1612218D8}"/>
    <hyperlink ref="H13" r:id="rId14" xr:uid="{42BBD020-D3C9-4BF7-94D0-75A8257877B3}"/>
    <hyperlink ref="B14" r:id="rId15" xr:uid="{320493E6-9989-42E7-8D78-89890F0A968F}"/>
    <hyperlink ref="H14" r:id="rId16" xr:uid="{04A6D66C-F892-4CFA-8BC8-5AE7568C95E4}"/>
    <hyperlink ref="H15" r:id="rId17" xr:uid="{D8BD0B47-8E7C-4143-9696-44972D4CBECB}"/>
    <hyperlink ref="H16" r:id="rId18" xr:uid="{369215ED-8FD5-4587-A3B5-9D3AD21002C3}"/>
    <hyperlink ref="H17" r:id="rId19" xr:uid="{15602CEF-6C7B-48C1-BC4E-7527096D65EC}"/>
    <hyperlink ref="H18" r:id="rId20" xr:uid="{118FE531-ABE9-4DB3-A841-717B30E5088E}"/>
    <hyperlink ref="H19" r:id="rId21" xr:uid="{31B26853-7790-44B3-8143-4C1B2137B605}"/>
    <hyperlink ref="H20" r:id="rId22" xr:uid="{84CAC259-762D-4E11-9B67-B3186F56BAEF}"/>
    <hyperlink ref="H21" r:id="rId23" xr:uid="{32890F5E-3C8F-40CD-8D0C-3B402EFF3704}"/>
    <hyperlink ref="H22" r:id="rId24" xr:uid="{98323510-02D7-4248-92F8-068CD07926BE}"/>
    <hyperlink ref="H23" r:id="rId25" xr:uid="{6763D41D-6C61-48DA-8FD0-1C3C7691D733}"/>
    <hyperlink ref="H24" r:id="rId26" xr:uid="{E2EBE424-2A92-4226-92BF-D68F58DD60B5}"/>
    <hyperlink ref="H25" r:id="rId27" xr:uid="{CAFFF16C-9A42-4FB1-BFCE-D9CFC71ABE36}"/>
    <hyperlink ref="B34" r:id="rId28" xr:uid="{59A97ED3-30EE-4712-BC77-1553A2F231A3}"/>
    <hyperlink ref="B38" r:id="rId29" xr:uid="{8C407AEC-1E48-4DCF-A1FD-3CD24707A0D6}"/>
    <hyperlink ref="B42" r:id="rId30" xr:uid="{D9B07E60-A362-460F-9FA8-A1E26382F02E}"/>
    <hyperlink ref="B46" r:id="rId31" xr:uid="{A505D19E-9DB4-4E36-BEA3-62E7C2BA5B68}"/>
    <hyperlink ref="B50" r:id="rId32" xr:uid="{742CCC13-DEC2-400D-A77D-819B45E40C87}"/>
    <hyperlink ref="B62" r:id="rId33" xr:uid="{CD012BC4-0135-4611-86D3-3644CB649CFC}"/>
    <hyperlink ref="H27" r:id="rId34" xr:uid="{FD47A62F-70F2-4246-94B9-13A1CD98743C}"/>
    <hyperlink ref="H26" r:id="rId35" xr:uid="{E479D227-5705-4F50-8F1A-5911534231F0}"/>
    <hyperlink ref="H28" r:id="rId36" xr:uid="{30C34FF7-2E0A-4105-9F23-AC8AE254566B}"/>
    <hyperlink ref="H29" r:id="rId37" xr:uid="{95F7F6BF-2535-426B-B589-54377576F859}"/>
    <hyperlink ref="B30" r:id="rId38" xr:uid="{E77DA936-CE0E-47FE-9596-023AC15C5AF4}"/>
    <hyperlink ref="B26" r:id="rId39" xr:uid="{C0ACC0DA-EF7A-42AB-9DFB-25C7FBD0DA7C}"/>
    <hyperlink ref="H30" r:id="rId40" xr:uid="{BDD3196F-B531-4EB6-8436-FB7F1C1832B8}"/>
    <hyperlink ref="H31" r:id="rId41" xr:uid="{C91666F2-BD90-4F80-8FB0-3E1977FD951F}"/>
    <hyperlink ref="H32" r:id="rId42" xr:uid="{ED6B0EB1-67A5-470C-B2CE-D50EABA4FB2C}"/>
    <hyperlink ref="H33" r:id="rId43" xr:uid="{9BCA416D-4313-454E-8608-2175E8176C8A}"/>
    <hyperlink ref="H34" r:id="rId44" xr:uid="{C419951F-F028-423B-B16F-B4FE9709F35C}"/>
    <hyperlink ref="H35" r:id="rId45" xr:uid="{F79D38D5-BFC2-49CF-889A-19BD2A4902E9}"/>
    <hyperlink ref="H36" r:id="rId46" xr:uid="{90D3C01A-83D8-4632-AE3F-96CD56F20DF5}"/>
    <hyperlink ref="H37" r:id="rId47" xr:uid="{D2E336EF-D4B5-45E9-9CF7-C855A355B625}"/>
    <hyperlink ref="H38" r:id="rId48" xr:uid="{CDCA5260-91DC-44DD-8E85-3C664108E27B}"/>
    <hyperlink ref="H39" r:id="rId49" xr:uid="{517031E1-34E0-40B2-B534-166A182DC9AF}"/>
    <hyperlink ref="H40" r:id="rId50" xr:uid="{A24A0453-3158-4396-958C-8A130E854404}"/>
    <hyperlink ref="H41" r:id="rId51" xr:uid="{9F1B1921-B1B7-48F3-A114-2EC37B99AE10}"/>
    <hyperlink ref="H42" r:id="rId52" xr:uid="{8D3C5938-D7AC-4C85-A7E9-B592B54D8D7C}"/>
    <hyperlink ref="H43" r:id="rId53" xr:uid="{ECBB5451-2862-4096-8F7B-CEC2D975FCF6}"/>
    <hyperlink ref="H44" r:id="rId54" xr:uid="{006BBCC0-0A94-4F53-A215-48B38DA312DA}"/>
    <hyperlink ref="H45" r:id="rId55" xr:uid="{DE1D5897-D88B-479F-95A9-725C27D384A8}"/>
    <hyperlink ref="H46" r:id="rId56" xr:uid="{098BCB53-AE87-40DA-9C3E-538C34587974}"/>
    <hyperlink ref="H47" r:id="rId57" xr:uid="{6EE45A44-44BD-4730-9335-F47680D7E99B}"/>
    <hyperlink ref="H48" r:id="rId58" xr:uid="{CB8EF9F1-EA99-4026-BDCC-7CD6C3371D02}"/>
    <hyperlink ref="H49" r:id="rId59" xr:uid="{E1E415E5-434C-488E-B009-8A7F9326E0CF}"/>
    <hyperlink ref="H50" r:id="rId60" xr:uid="{5F7FB619-D058-4B76-BD41-E67BD4D10459}"/>
    <hyperlink ref="H51" r:id="rId61" xr:uid="{7264CF5D-7D17-42AE-B75E-076474DB937B}"/>
    <hyperlink ref="H52" r:id="rId62" xr:uid="{47085D07-526D-4A7F-A87E-B165A1E1A922}"/>
    <hyperlink ref="H53" r:id="rId63" xr:uid="{03311013-E6DD-40AD-A978-8621996E190D}"/>
    <hyperlink ref="B54" r:id="rId64" xr:uid="{FB6EEBFF-BA83-4A3D-A90C-5FB05033CC83}"/>
    <hyperlink ref="H54" r:id="rId65" xr:uid="{A834B92A-CDA8-4953-B536-5DAEDFDA3232}"/>
    <hyperlink ref="H55" r:id="rId66" xr:uid="{D2DFDB43-E53E-4A10-9141-6B16BB0A9DC5}"/>
    <hyperlink ref="H56" r:id="rId67" xr:uid="{4DE03602-8261-4F9C-AB6E-82FA8FDE622B}"/>
    <hyperlink ref="H57" r:id="rId68" xr:uid="{F595171E-E596-4F9B-B9A4-5C53AB72619E}"/>
    <hyperlink ref="B58" r:id="rId69" xr:uid="{885D0678-1C26-47EF-9866-03A29594922C}"/>
    <hyperlink ref="H58" r:id="rId70" xr:uid="{311D922E-A89A-4A73-911E-C4806BE6E8EA}"/>
    <hyperlink ref="H59" r:id="rId71" xr:uid="{CE06AFBF-3ECE-4316-8079-D153C0A6069C}"/>
    <hyperlink ref="H60" r:id="rId72" xr:uid="{2B96A1D8-9B40-477C-9AB3-BAE97D9BEC96}"/>
    <hyperlink ref="H61" r:id="rId73" xr:uid="{CD5CCC09-5A35-4BD6-83C5-6C053BC9F361}"/>
    <hyperlink ref="H62" r:id="rId74" xr:uid="{D9B30635-F040-4153-8553-FC91E530B1FC}"/>
    <hyperlink ref="H63" r:id="rId75" xr:uid="{5742815B-B0F4-4182-94B9-E31875A29FC0}"/>
    <hyperlink ref="H64" r:id="rId76" xr:uid="{8F6B4701-4FF5-4D23-A2CC-1A803009FD2B}"/>
    <hyperlink ref="H65" r:id="rId77" xr:uid="{9F0640D0-0B84-4C36-8A7C-CBEA82422937}"/>
    <hyperlink ref="B66" r:id="rId78" xr:uid="{8DD3ACDD-A6AF-4463-9B78-7005D2E8EE61}"/>
    <hyperlink ref="H66" r:id="rId79" xr:uid="{44D8104A-CC51-439E-861D-0A2C2CCB4A31}"/>
    <hyperlink ref="H67" r:id="rId80" xr:uid="{779086E1-6C87-4DF6-BB31-CCBF86CC07F0}"/>
    <hyperlink ref="H68" r:id="rId81" xr:uid="{AE143EA3-9C64-4A3C-8182-B9956F4ABF8E}"/>
    <hyperlink ref="H69" r:id="rId82" xr:uid="{B95A21C8-907A-4610-AC86-BCBE2684C8A7}"/>
    <hyperlink ref="B70" r:id="rId83" xr:uid="{8A161959-28B5-47CC-B3A0-D30EE37848E1}"/>
    <hyperlink ref="B74" r:id="rId84" xr:uid="{FCBE8DDB-CF27-4232-A835-370F4A9AE816}"/>
    <hyperlink ref="H70" r:id="rId85" xr:uid="{DD2D394F-DA02-4A49-BDE0-002823AFE66A}"/>
    <hyperlink ref="H71" r:id="rId86" xr:uid="{A2F056E0-40C0-4647-A096-6A5F1FA8A1B4}"/>
    <hyperlink ref="H72" r:id="rId87" xr:uid="{14853D4D-7733-44CC-9F62-BDE82F8352CF}"/>
    <hyperlink ref="H73" r:id="rId88" xr:uid="{00B04D96-06FD-4E99-8915-FA74153129B5}"/>
    <hyperlink ref="H74" r:id="rId89" xr:uid="{5B94972F-3EB2-419B-9BD3-846B9760487F}"/>
    <hyperlink ref="H75" r:id="rId90" xr:uid="{ADDE8695-5519-4F56-BD3D-CE15EE6D6877}"/>
    <hyperlink ref="H76" r:id="rId91" xr:uid="{2157B377-F50B-4CF7-A058-F09F02669BF2}"/>
    <hyperlink ref="H77" r:id="rId92" xr:uid="{48F17612-28C3-4A6B-8F8A-0F9F08B4D126}"/>
    <hyperlink ref="H78" r:id="rId93" xr:uid="{8EB44573-C514-42E1-BEC5-589EBD8D9306}"/>
    <hyperlink ref="H79" r:id="rId94" xr:uid="{CE0AA391-8F28-434C-ADBB-B3C71356700D}"/>
    <hyperlink ref="H80" r:id="rId95" xr:uid="{719F9796-F9DB-4714-BC92-6B5D1B1E0FC3}"/>
    <hyperlink ref="H81" r:id="rId96" xr:uid="{B0CA9D16-98C1-4D6B-A5DD-C4EB3B1AE7EA}"/>
    <hyperlink ref="B78" r:id="rId97" xr:uid="{3732DDC1-363C-4FE8-A5B2-DD22E3EC910B}"/>
    <hyperlink ref="B82" r:id="rId98" xr:uid="{4E7DBD32-3E11-45BE-A17A-71AE5500D605}"/>
    <hyperlink ref="B86" r:id="rId99" xr:uid="{BD8EFDC8-BE83-4B03-BAF6-CFAD091DC4D2}"/>
    <hyperlink ref="B90" r:id="rId100" xr:uid="{5CA64158-B500-4AAD-AE8D-1358EE28416A}"/>
    <hyperlink ref="B94" r:id="rId101" xr:uid="{61195DF7-F584-4E64-ADA8-9DF33D974F7E}"/>
    <hyperlink ref="B98" r:id="rId102" xr:uid="{9B08406E-9D64-4A29-8BD7-204BCB80386D}"/>
    <hyperlink ref="H82" r:id="rId103" xr:uid="{3F4E3BDF-D36F-41EE-8A34-EF82FCE78E7D}"/>
    <hyperlink ref="H83" r:id="rId104" xr:uid="{D2FF571B-C75E-4698-BD86-83EBD765563D}"/>
    <hyperlink ref="H84" r:id="rId105" xr:uid="{574E2D9D-ABC6-443C-A706-B161DD037676}"/>
    <hyperlink ref="H85" r:id="rId106" xr:uid="{5170C244-34D4-42A7-8886-86D71940A570}"/>
    <hyperlink ref="H86" r:id="rId107" xr:uid="{9874050B-FD25-4E46-95A6-10D8076A3A1D}"/>
    <hyperlink ref="H87" r:id="rId108" xr:uid="{08E07C91-D411-4C03-8156-6B0AD05D26FC}"/>
    <hyperlink ref="H88" r:id="rId109" xr:uid="{4A9123FB-9BFB-4D12-9A19-143ADC34CDB6}"/>
    <hyperlink ref="H89" r:id="rId110" xr:uid="{091ABFD0-1D6D-490B-9EDB-441A1BED6458}"/>
    <hyperlink ref="H90" r:id="rId111" xr:uid="{7B281FB5-C787-4602-9F79-0AE6B84287F0}"/>
    <hyperlink ref="H91" r:id="rId112" xr:uid="{33C71FE6-FF70-494C-9AF6-A2095994D4AE}"/>
    <hyperlink ref="H92" r:id="rId113" xr:uid="{CA139E6D-AFDA-4BE6-8869-1F1A415E2E27}"/>
    <hyperlink ref="H93" r:id="rId114" xr:uid="{9C45AFF9-76F1-4EC6-8936-05E0F407C18C}"/>
    <hyperlink ref="H94" r:id="rId115" xr:uid="{A5293B77-9C8C-490A-AAB1-7DCE79B4981B}"/>
    <hyperlink ref="H95" r:id="rId116" xr:uid="{57DB89C5-0C52-4A59-9323-E3F486B6CF39}"/>
    <hyperlink ref="H96" r:id="rId117" xr:uid="{2EDC0AF5-78BE-4F33-89E9-AD7F3981277A}"/>
    <hyperlink ref="H97" r:id="rId118" xr:uid="{89AA6D80-8D8D-439C-9A17-2B7E6FCA7CA3}"/>
    <hyperlink ref="H98" r:id="rId119" xr:uid="{5E7752AD-7F80-46C2-A389-EE9724791427}"/>
    <hyperlink ref="H99" r:id="rId120" xr:uid="{DB7730E1-E33E-4961-A3D1-C9D44A4C07B9}"/>
    <hyperlink ref="H100" r:id="rId121" xr:uid="{10DE177C-584E-445D-B140-98220A813968}"/>
    <hyperlink ref="H101" r:id="rId122" xr:uid="{DA0018DB-001D-456A-96C4-36BD71082BA7}"/>
    <hyperlink ref="B102" r:id="rId123" xr:uid="{F3543082-4AE9-4FF8-B135-E03A4DD0CF02}"/>
    <hyperlink ref="B106" r:id="rId124" xr:uid="{8410D52C-0785-497F-B6AF-6FD7F2FAD8E1}"/>
    <hyperlink ref="B110" r:id="rId125" xr:uid="{593CB3B0-6E76-4596-A460-CB127E20908E}"/>
    <hyperlink ref="B114" r:id="rId126" xr:uid="{9237D365-AE3B-49BA-AB06-54778F5ADDC8}"/>
    <hyperlink ref="B118" r:id="rId127" xr:uid="{89EE6367-2601-431E-8E54-BD2D92C772D6}"/>
    <hyperlink ref="B122" r:id="rId128" xr:uid="{61AB234B-2AA4-4FA1-B7A5-891E309EEC68}"/>
    <hyperlink ref="H102" r:id="rId129" xr:uid="{FCBFE06B-54F1-4E62-81E9-979D3403E469}"/>
    <hyperlink ref="H103" r:id="rId130" xr:uid="{1C224108-5720-48FE-B064-5DF465856AC1}"/>
    <hyperlink ref="H104" r:id="rId131" xr:uid="{932641C1-28E1-4609-BE26-E20993078654}"/>
    <hyperlink ref="H105" r:id="rId132" xr:uid="{04046871-DE55-44B9-A2DD-E1D5CE2F059F}"/>
    <hyperlink ref="H106" r:id="rId133" xr:uid="{8F4A0CEB-901F-4532-9E48-E0A302AB3FD2}"/>
    <hyperlink ref="H107" r:id="rId134" xr:uid="{47D0503A-1B21-4717-B4FD-F3A920163E20}"/>
    <hyperlink ref="H108" r:id="rId135" xr:uid="{34F984AB-3AF8-4816-AA49-D9A59A44B83F}"/>
    <hyperlink ref="H109" r:id="rId136" xr:uid="{4C1B37B6-3B55-4459-A862-8D6969E8529A}"/>
    <hyperlink ref="H110" r:id="rId137" xr:uid="{522AAC79-21D0-42BE-B6A3-D49330EC7B26}"/>
    <hyperlink ref="H111" r:id="rId138" xr:uid="{43571856-4D2E-4271-A229-C08DFE16D565}"/>
    <hyperlink ref="H112" r:id="rId139" xr:uid="{DFD17BAF-192A-4A22-9ACF-78940B46D401}"/>
    <hyperlink ref="H113" r:id="rId140" xr:uid="{E33FCDA3-EE0D-4E86-A891-6862E25799CB}"/>
    <hyperlink ref="H114" r:id="rId141" xr:uid="{2E5BC764-B37C-4841-87D1-03958BB89622}"/>
    <hyperlink ref="H115" r:id="rId142" xr:uid="{5EC8C368-EE39-4AED-B070-40869210D5A3}"/>
    <hyperlink ref="H116" r:id="rId143" xr:uid="{9732EAAB-3BFC-409B-ADD4-510E56290384}"/>
    <hyperlink ref="H117" r:id="rId144" xr:uid="{BEA3FC2A-38C3-47E6-9A55-969457D77E55}"/>
    <hyperlink ref="H118" r:id="rId145" xr:uid="{C2EC2B45-9D59-43EE-9AF5-82EF57B827C2}"/>
    <hyperlink ref="H119" r:id="rId146" xr:uid="{6014F5B2-07A2-4A06-8A60-ECBA7E21BCD6}"/>
    <hyperlink ref="H120" r:id="rId147" xr:uid="{A24C460B-5DB0-44CF-A3A6-0D0B1C46EE60}"/>
    <hyperlink ref="H121" r:id="rId148" xr:uid="{C4D4E70B-625E-45EE-88E1-C1155CBA296A}"/>
    <hyperlink ref="H122" r:id="rId149" xr:uid="{AD859D63-2622-4D25-B14E-D194A92933A2}"/>
    <hyperlink ref="H123" r:id="rId150" xr:uid="{BAC66371-7883-41E3-8A3F-203305CC3519}"/>
    <hyperlink ref="H124" r:id="rId151" xr:uid="{ED6FCF4E-DFD7-4320-A02E-469FA2013A6C}"/>
    <hyperlink ref="H125" r:id="rId152" xr:uid="{35AAB28E-492C-4DEF-912C-FA053844A296}"/>
    <hyperlink ref="B126" r:id="rId153" xr:uid="{6433E87A-5197-4793-BBB1-77FE1338C55B}"/>
    <hyperlink ref="B130" r:id="rId154" xr:uid="{1B2694A1-6970-4412-971E-A2293550FCDB}"/>
    <hyperlink ref="B134" r:id="rId155" xr:uid="{740D6E59-F5A1-4F78-BD39-E23D1AD1BEA0}"/>
    <hyperlink ref="B138" r:id="rId156" xr:uid="{1AE06216-ED00-4F42-9ABA-5A64835E8E74}"/>
    <hyperlink ref="B142" r:id="rId157" xr:uid="{63302F4D-7333-419C-BB51-4A3AA763CCD5}"/>
    <hyperlink ref="B146" r:id="rId158" xr:uid="{9FCBEF28-B7F5-4AE3-9A3B-978105DB5780}"/>
    <hyperlink ref="B150" r:id="rId159" xr:uid="{3B1CD90C-F4A5-47BF-8E5B-DE06B7261DAE}"/>
    <hyperlink ref="B154" r:id="rId160" xr:uid="{4CB54211-E2A6-4C08-991C-E403CA3FEA22}"/>
    <hyperlink ref="B158" r:id="rId161" xr:uid="{8B4477E2-D499-4AF7-B469-3A0F5BB09621}"/>
    <hyperlink ref="B162" r:id="rId162" xr:uid="{D12231F3-32EB-4101-BE42-0A35A8162385}"/>
    <hyperlink ref="B166" r:id="rId163" xr:uid="{15B32213-059D-447B-B4E0-61E3CF071C52}"/>
    <hyperlink ref="B170" r:id="rId164" xr:uid="{D3ECE141-9254-440D-A1D5-FEB949B99B65}"/>
    <hyperlink ref="H126" r:id="rId165" xr:uid="{3D4C1BB6-CE0C-473F-9989-972AAB348C26}"/>
    <hyperlink ref="H127" r:id="rId166" xr:uid="{92C1348B-2F1B-4AF4-9D98-E916DCFC5D3B}"/>
    <hyperlink ref="H128" r:id="rId167" xr:uid="{C6BCBDFA-3AA5-44BA-A75A-94FBCD61DC98}"/>
    <hyperlink ref="H129" r:id="rId168" xr:uid="{24F07416-F01E-47DA-91A3-95B580D972D6}"/>
    <hyperlink ref="H130" r:id="rId169" xr:uid="{5E60CA44-AE56-4197-82AD-B4BE083BC63A}"/>
    <hyperlink ref="H131" r:id="rId170" xr:uid="{3F14BACA-91D0-4684-B107-5C63B41ADF44}"/>
    <hyperlink ref="H132" r:id="rId171" xr:uid="{C66527B4-BDE0-4C02-B55F-EDB9065AA3D6}"/>
    <hyperlink ref="H133" r:id="rId172" xr:uid="{A02183C5-632D-4C83-B56B-E877FC360BB6}"/>
    <hyperlink ref="H134" r:id="rId173" xr:uid="{1F4685DE-5D92-4D67-81C8-D2E65DC6237B}"/>
    <hyperlink ref="H135" r:id="rId174" xr:uid="{1268CFDA-F416-4D0E-86EF-7AA6F9D79A84}"/>
    <hyperlink ref="H136" r:id="rId175" xr:uid="{ADE2D56B-2279-40C2-80FE-C30A632279EB}"/>
    <hyperlink ref="H137" r:id="rId176" xr:uid="{24B54AA6-04B0-4EF1-A241-CD42E17557D4}"/>
    <hyperlink ref="H138" r:id="rId177" xr:uid="{7C3EFFBE-F312-4861-BE04-18118408E848}"/>
    <hyperlink ref="H139" r:id="rId178" xr:uid="{42B055E6-6AB2-404A-A785-8814C2A9CB58}"/>
    <hyperlink ref="H140" r:id="rId179" xr:uid="{3CB1EDB7-763E-45DA-89D1-45AE9BB9F191}"/>
    <hyperlink ref="H141" r:id="rId180" xr:uid="{3D9D7124-9975-4B50-9217-1A9F2AA8C5AC}"/>
    <hyperlink ref="H142" r:id="rId181" xr:uid="{184F2C3E-FC41-4968-A03E-D1843C38063E}"/>
    <hyperlink ref="H143" r:id="rId182" xr:uid="{8DE0B1DD-CA2D-4453-9FCF-D42B3EC54EB6}"/>
    <hyperlink ref="H144" r:id="rId183" xr:uid="{EA87FF45-87E1-4A09-A888-E7D23E1ECC91}"/>
    <hyperlink ref="H145" r:id="rId184" xr:uid="{87F4002D-FA7F-4D9F-B4EA-DD9C357D25F1}"/>
    <hyperlink ref="H146" r:id="rId185" xr:uid="{D00E9D73-0FB7-46C6-A7EA-81843C9CF944}"/>
    <hyperlink ref="H147" r:id="rId186" xr:uid="{D3BFAED6-46A7-4B85-AEE0-9F368E88FA25}"/>
    <hyperlink ref="H148" r:id="rId187" xr:uid="{0F41B99B-ABE4-487B-BA7D-66877538AD08}"/>
    <hyperlink ref="H149" r:id="rId188" xr:uid="{4DB5D9A3-6B4D-4E72-B953-CCC155B07CDC}"/>
    <hyperlink ref="H150" r:id="rId189" xr:uid="{C0BA1F8C-56C1-4A75-AE45-9FD0980DDA68}"/>
    <hyperlink ref="H151" r:id="rId190" xr:uid="{3E5A54B5-48DE-4FE2-9436-9D47E891AEBE}"/>
    <hyperlink ref="H152" r:id="rId191" xr:uid="{27EC45DF-BA59-43D6-816E-61AC386106A4}"/>
    <hyperlink ref="H153" r:id="rId192" xr:uid="{735D262B-EB87-4EC4-8A8A-243510607638}"/>
    <hyperlink ref="H154" r:id="rId193" xr:uid="{99C6A2BE-7C2F-4FB6-859A-EA2A378AE94B}"/>
    <hyperlink ref="H155" r:id="rId194" xr:uid="{AE3F0A25-998F-4D5D-A48E-6583D05E4E15}"/>
    <hyperlink ref="H156" r:id="rId195" xr:uid="{D3E33F37-F2B6-4181-B1DC-5B4E842BCE9E}"/>
    <hyperlink ref="H157" r:id="rId196" xr:uid="{E667EA56-69DA-4F7A-8CF8-E8A238D8A4A7}"/>
    <hyperlink ref="H158" r:id="rId197" xr:uid="{030071A3-A54B-4399-A9D2-4727BEEB373E}"/>
    <hyperlink ref="H159" r:id="rId198" xr:uid="{285E67F3-59CE-4447-A0A0-50ED0FF26796}"/>
    <hyperlink ref="H160" r:id="rId199" xr:uid="{C2BAFB0A-B311-4A62-804C-2C6EB6C87751}"/>
    <hyperlink ref="H161" r:id="rId200" xr:uid="{7264A859-5E70-4AFD-9680-DF085BD725DD}"/>
    <hyperlink ref="H162" r:id="rId201" xr:uid="{6831B8E0-BBD8-4F07-820B-C9DA5FFA1E24}"/>
    <hyperlink ref="H163" r:id="rId202" xr:uid="{247A6810-8B87-475C-BEBB-22C638A491B0}"/>
    <hyperlink ref="H164" r:id="rId203" xr:uid="{30A68C00-06FF-4249-BB38-B512AE7D42D4}"/>
    <hyperlink ref="H165" r:id="rId204" xr:uid="{3A58FF4E-BD8B-4D49-8D4F-C85EF3A05290}"/>
    <hyperlink ref="H166" r:id="rId205" xr:uid="{E6808A0F-08AD-43C4-A423-E5DE0D07F680}"/>
    <hyperlink ref="H167" r:id="rId206" xr:uid="{3FE2651B-0093-4FBF-9418-AAA574ADDBD0}"/>
    <hyperlink ref="H168" r:id="rId207" xr:uid="{046463F2-8C92-4319-955C-D7868787C3B4}"/>
    <hyperlink ref="H169" r:id="rId208" xr:uid="{21868F8F-11A5-40DD-A3AC-88A7FBFA8997}"/>
    <hyperlink ref="H170" r:id="rId209" xr:uid="{617055F1-0423-4FB2-9D0D-2CC1F6407385}"/>
    <hyperlink ref="H171" r:id="rId210" xr:uid="{84EC6E4F-AB40-4005-9C2D-12E440BBBEE5}"/>
    <hyperlink ref="H172" r:id="rId211" xr:uid="{3C1AF317-4974-4269-A81F-BE466B38E641}"/>
    <hyperlink ref="H173" r:id="rId212" xr:uid="{E997594F-08BE-49A9-8669-24120E4A4932}"/>
    <hyperlink ref="B178" r:id="rId213" xr:uid="{4A361A21-CDF2-415F-8C29-38FCBC516854}"/>
    <hyperlink ref="B174" r:id="rId214" xr:uid="{F77ED4A1-F236-4A68-BBAA-482A2D05B723}"/>
    <hyperlink ref="H174" r:id="rId215" xr:uid="{FDDE9605-36DE-4C80-B7C1-DE237360D245}"/>
    <hyperlink ref="H175" r:id="rId216" xr:uid="{4906555D-7BDA-4B03-850A-032C9BD278B5}"/>
    <hyperlink ref="H176" r:id="rId217" xr:uid="{155137A0-753E-47D2-9224-7B4B126FAE14}"/>
    <hyperlink ref="H177" r:id="rId218" xr:uid="{B5304A8A-0909-428F-9A72-BEC9ED4095D3}"/>
    <hyperlink ref="H178" r:id="rId219" xr:uid="{5B31429F-F9CE-4807-BAD1-6574941EEAA7}"/>
    <hyperlink ref="H179" r:id="rId220" xr:uid="{22108E97-DF60-4198-A2A8-7F9C88C929B3}"/>
    <hyperlink ref="H180" r:id="rId221" xr:uid="{A2F10CB1-D436-4D06-8C9F-AE30CE219FED}"/>
    <hyperlink ref="H181" r:id="rId222" xr:uid="{F5245AC3-46D3-48C3-8FFC-AE3EE5B025CF}"/>
    <hyperlink ref="B182" r:id="rId223" xr:uid="{9004F68D-E8F9-4630-84F6-AB22235EFA79}"/>
    <hyperlink ref="H182" r:id="rId224" xr:uid="{88DF241E-85C6-4E65-8A7D-EC949D2945FF}"/>
    <hyperlink ref="H183" r:id="rId225" xr:uid="{B2770C79-FDCB-4C70-B3A6-B14BBACA6EA8}"/>
    <hyperlink ref="H184" r:id="rId226" xr:uid="{FF4ECE4C-0FF8-4F96-83CE-9DAFC7FA5426}"/>
    <hyperlink ref="H185" r:id="rId227" xr:uid="{04699E12-EC48-43E4-AC15-EF86806EAACF}"/>
    <hyperlink ref="B186" r:id="rId228" xr:uid="{6591B753-58E4-4F9E-A3C7-7230DDBFB372}"/>
    <hyperlink ref="B190" r:id="rId229" xr:uid="{3C6B392E-3ADD-43D3-9C6A-3319C9B8C9F5}"/>
    <hyperlink ref="B194" r:id="rId230" xr:uid="{CB525801-B80C-4B51-8D90-E1DD3A19F92B}"/>
    <hyperlink ref="B198" r:id="rId231" xr:uid="{070CDA63-82E4-43E3-8460-27347548E15E}"/>
    <hyperlink ref="B202" r:id="rId232" xr:uid="{A25A4A7C-76E3-4D20-9C30-08EB309BCB3C}"/>
    <hyperlink ref="B206" r:id="rId233" xr:uid="{DBF594BA-5EDD-48D3-9EFC-0A5D990FAC79}"/>
    <hyperlink ref="B210" r:id="rId234" xr:uid="{C74544F7-2CD9-4C25-A9D7-2F560F915CE8}"/>
    <hyperlink ref="B214" r:id="rId235" xr:uid="{7A0D6DAE-836F-4BC2-A004-B43E5E1DB8AF}"/>
    <hyperlink ref="B218" r:id="rId236" xr:uid="{0F45B613-BF8E-4F54-A171-3C398D4D71AF}"/>
    <hyperlink ref="B226" r:id="rId237" xr:uid="{EDAE5502-BADB-48B3-8952-DB9E0D177E17}"/>
    <hyperlink ref="B230" r:id="rId238" xr:uid="{C25B509A-65A6-4D63-A224-55928894F61D}"/>
    <hyperlink ref="B234" r:id="rId239" xr:uid="{7C872811-0235-43CB-8A62-2DEA37F85BE6}"/>
    <hyperlink ref="B238" r:id="rId240" xr:uid="{5E797394-BC62-4C7D-AF9B-6AB3703C7744}"/>
    <hyperlink ref="B242" r:id="rId241" xr:uid="{F19B989D-8D12-4A0D-8C43-1FC20304FB79}"/>
    <hyperlink ref="B246" r:id="rId242" xr:uid="{329BBEA7-5EBB-407C-9D41-FB4A77175E49}"/>
    <hyperlink ref="B250" r:id="rId243" xr:uid="{B18DF4E8-30A8-45EC-BB65-254E7EEC3D61}"/>
    <hyperlink ref="B254" r:id="rId244" xr:uid="{92B796A7-36C6-4D08-B17E-F6C5F28E9347}"/>
    <hyperlink ref="B258" r:id="rId245" xr:uid="{BE990E24-479A-49D1-A961-05E0D0F3C572}"/>
    <hyperlink ref="B262" r:id="rId246" xr:uid="{8A65E8FB-624B-4829-B174-DF99B2C7CD45}"/>
    <hyperlink ref="B266" r:id="rId247" xr:uid="{7584800A-5811-4D1F-A1AD-ABA33D6B7994}"/>
    <hyperlink ref="B270" r:id="rId248" xr:uid="{0B0E8D81-8BFD-42FB-AB4F-FCD371336075}"/>
    <hyperlink ref="B274" r:id="rId249" xr:uid="{D1525D5D-7BF6-44D9-BD04-8659F5F27B12}"/>
    <hyperlink ref="H186" r:id="rId250" xr:uid="{86813055-D16F-48E8-8B7A-76B67978D840}"/>
    <hyperlink ref="H187" r:id="rId251" xr:uid="{F5DA86A9-0667-48DF-A48B-C950C779233E}"/>
    <hyperlink ref="H188" r:id="rId252" xr:uid="{9B170231-D0BF-4182-8B70-3643F856BF97}"/>
    <hyperlink ref="H189" r:id="rId253" xr:uid="{7EC7F121-1F71-4EC8-B2E0-8C628871568E}"/>
    <hyperlink ref="H190" r:id="rId254" xr:uid="{A3542DDD-D440-4D4E-9DBB-F46F8063CBF6}"/>
    <hyperlink ref="H191" r:id="rId255" xr:uid="{F9D00089-7FFE-4A79-9C6A-2877F9F02F41}"/>
    <hyperlink ref="H192" r:id="rId256" xr:uid="{D01F9ECA-2D6C-4BCE-88AD-61F31D57FF38}"/>
    <hyperlink ref="H193" r:id="rId257" xr:uid="{B7BC4C0A-B52B-4324-9173-80D745B284EE}"/>
    <hyperlink ref="H194" r:id="rId258" xr:uid="{8F783D6A-C70A-4ECF-BF04-0A2B6419F88C}"/>
    <hyperlink ref="H195" r:id="rId259" xr:uid="{85B06CEF-A526-45CC-8607-0D8A02551A54}"/>
    <hyperlink ref="H196" r:id="rId260" xr:uid="{869FCC04-02E2-4E49-B2BA-89CD3F7DADA4}"/>
    <hyperlink ref="H197" r:id="rId261" xr:uid="{09FED2A8-5FBD-42CC-837F-76274FA32166}"/>
    <hyperlink ref="H198" r:id="rId262" xr:uid="{CF44877F-2885-425E-86CE-83FEF8906649}"/>
    <hyperlink ref="H199" r:id="rId263" xr:uid="{760D5487-6F89-4DC6-B580-E64F49572855}"/>
    <hyperlink ref="H200" r:id="rId264" xr:uid="{155A6F65-ED1B-4277-8040-E850ACEF742F}"/>
    <hyperlink ref="H201" r:id="rId265" xr:uid="{25716840-86D4-4BEC-B08B-20F6F1495A0F}"/>
    <hyperlink ref="H202" r:id="rId266" xr:uid="{E653061A-C2BF-4DF1-BB56-3DFE654ABCB8}"/>
    <hyperlink ref="H203" r:id="rId267" xr:uid="{62C4288E-C7AA-49D8-8865-8DC86985358A}"/>
    <hyperlink ref="H204" r:id="rId268" xr:uid="{0C4ADA13-68FD-49A1-9F59-330776DC8862}"/>
    <hyperlink ref="H205" r:id="rId269" xr:uid="{77920B91-8021-445C-A520-27964A85F92C}"/>
    <hyperlink ref="H206" r:id="rId270" xr:uid="{C3A0DE69-6F2F-451E-B607-EB2EA8DA1D95}"/>
    <hyperlink ref="H207" r:id="rId271" xr:uid="{E921EDFA-314C-44A7-9A87-08AC85FCFFDA}"/>
    <hyperlink ref="H208" r:id="rId272" xr:uid="{F9F24C2D-7E76-4586-BB50-0E81DDFE572C}"/>
    <hyperlink ref="H209" r:id="rId273" xr:uid="{D5642261-99FE-4D9D-BA0B-FCB72131CC37}"/>
    <hyperlink ref="H210" r:id="rId274" xr:uid="{BE99A347-5E69-447F-BCDE-A434C0A316A1}"/>
    <hyperlink ref="H211" r:id="rId275" xr:uid="{A7F69BC0-C9B5-4D01-A0C8-BC051CD03438}"/>
    <hyperlink ref="H212" r:id="rId276" xr:uid="{25129EFF-826A-469F-B16F-CDD6F3884298}"/>
    <hyperlink ref="H213" r:id="rId277" xr:uid="{138D45EC-AACD-4B9B-BE71-9962F9769962}"/>
    <hyperlink ref="H214" r:id="rId278" xr:uid="{A24C0501-D0D1-49D4-8D2C-53BA2A9B2CD9}"/>
    <hyperlink ref="H215" r:id="rId279" xr:uid="{0A16EEC6-17AA-421B-AA85-18D6AF596F10}"/>
    <hyperlink ref="H216" r:id="rId280" xr:uid="{EDCE5F53-4CFB-41F8-B58C-87049CD87D58}"/>
    <hyperlink ref="H217" r:id="rId281" xr:uid="{24524ADC-0DBE-4E0A-9625-B68D73254BB2}"/>
    <hyperlink ref="H218" r:id="rId282" xr:uid="{4CAA87CE-B4B7-4A5E-A12B-5E1C8BC29B8F}"/>
    <hyperlink ref="H219" r:id="rId283" xr:uid="{D631504F-4F5C-4CDA-9F86-F9C66FFD1882}"/>
    <hyperlink ref="H220" r:id="rId284" xr:uid="{03963F05-6A84-4214-B09C-8000E2CDFD9B}"/>
    <hyperlink ref="H221" r:id="rId285" xr:uid="{D84B8D88-6AC0-4AD3-8DA9-FEF1D11BF8CF}"/>
    <hyperlink ref="H229" r:id="rId286" xr:uid="{FA31840B-9E79-4172-999A-5B1205CF4F77}"/>
    <hyperlink ref="H228" r:id="rId287" xr:uid="{55325B31-7661-4D2D-8ACA-322693210A68}"/>
    <hyperlink ref="H227" r:id="rId288" xr:uid="{5B43DBD8-2ADF-44D9-B459-8C6D5A4FA320}"/>
    <hyperlink ref="H226" r:id="rId289" xr:uid="{7901F4AA-FC2F-4688-9517-ED93B936912C}"/>
    <hyperlink ref="B222" r:id="rId290" xr:uid="{15115DBD-1238-4E42-A2D1-28E763E2D303}"/>
    <hyperlink ref="H222" r:id="rId291" xr:uid="{656C9ADA-956D-41CF-8D0F-697498673469}"/>
    <hyperlink ref="H223" r:id="rId292" xr:uid="{98485B3D-6170-41A0-88DF-03513D9F1EEB}"/>
    <hyperlink ref="H224" r:id="rId293" xr:uid="{D6F4578E-0D6C-40D3-915D-32BDFAEFD25E}"/>
    <hyperlink ref="H225" r:id="rId294" xr:uid="{935DAFD4-4F78-4BE3-874E-898E0A17D479}"/>
    <hyperlink ref="H230" r:id="rId295" xr:uid="{AF2D6EEC-ABDA-4884-A680-8589C392DF0A}"/>
    <hyperlink ref="H231" r:id="rId296" xr:uid="{D42E6A14-0477-4118-A570-B4423F56959E}"/>
    <hyperlink ref="H232" r:id="rId297" xr:uid="{FAB67ABF-D92B-46C8-9818-2FC6FD9220D5}"/>
    <hyperlink ref="H233" r:id="rId298" xr:uid="{C000AA42-A769-4BC2-8ABA-E18F0BC8296F}"/>
    <hyperlink ref="H234" r:id="rId299" xr:uid="{13D20D26-B406-49E6-8C71-C4E77E01112A}"/>
    <hyperlink ref="H235" r:id="rId300" xr:uid="{ED8400AD-07E8-4EED-B04A-34FDC25C4809}"/>
    <hyperlink ref="H236" r:id="rId301" xr:uid="{472429C0-87FE-4D3B-90BB-B540FBB01EC2}"/>
    <hyperlink ref="H237" r:id="rId302" xr:uid="{B3C28066-A759-498A-8877-7CDCBB24FC41}"/>
    <hyperlink ref="H238" r:id="rId303" xr:uid="{7BFACEAA-1F8C-4E22-9E07-5D53EEEA102E}"/>
    <hyperlink ref="H239" r:id="rId304" xr:uid="{6713FA79-FDF6-458A-9F52-0FBEF411E8E9}"/>
    <hyperlink ref="H240" r:id="rId305" xr:uid="{E09B4FF4-BF94-42E4-9EBD-C5C6DEB32122}"/>
    <hyperlink ref="H241" r:id="rId306" xr:uid="{067D7031-19CC-4095-AD19-E61BDE34E0B7}"/>
    <hyperlink ref="H242" r:id="rId307" xr:uid="{CDB54DD8-8E7D-43B8-8A00-E7A1D5E6D8C5}"/>
    <hyperlink ref="H243" r:id="rId308" xr:uid="{77111945-9503-44C7-AA81-1A2517818536}"/>
    <hyperlink ref="H244" r:id="rId309" xr:uid="{19EFD926-D2BC-4797-B99D-B36CEE38D4F2}"/>
    <hyperlink ref="H245" r:id="rId310" xr:uid="{DC7D6485-AE4D-4141-962F-FAC129D49BD5}"/>
    <hyperlink ref="H246" r:id="rId311" xr:uid="{A4D5A5E5-F667-48AA-8B2D-68FA191AE419}"/>
    <hyperlink ref="H247" r:id="rId312" xr:uid="{4EC12450-AF05-4DB4-B27F-A724A2A79901}"/>
    <hyperlink ref="H248" r:id="rId313" xr:uid="{20C082AA-665A-4040-81E2-C3CCED5F98DC}"/>
    <hyperlink ref="H249" r:id="rId314" xr:uid="{A7143C3B-BF16-4093-8018-D13FFFF9F8D9}"/>
    <hyperlink ref="H250" r:id="rId315" xr:uid="{D0460A66-4E08-4DD5-8F91-F0A8153811DD}"/>
    <hyperlink ref="H251" r:id="rId316" xr:uid="{85A6D742-A1D8-401E-A70F-AA57F4CF1227}"/>
    <hyperlink ref="H252" r:id="rId317" xr:uid="{F188DDF2-8116-4498-857F-55FF54FB9ABC}"/>
    <hyperlink ref="H253" r:id="rId318" xr:uid="{5FE8F113-C4E7-4D94-946D-BD01EC152348}"/>
    <hyperlink ref="H254" r:id="rId319" xr:uid="{F38FB75C-AB61-4F79-A092-E237EF424582}"/>
    <hyperlink ref="H255" r:id="rId320" xr:uid="{3B238093-19AB-4DFD-A8B6-16A0616F0BE8}"/>
    <hyperlink ref="H256" r:id="rId321" xr:uid="{7D1D93E6-63B6-4308-BD44-437AEFFECEDD}"/>
    <hyperlink ref="H257" r:id="rId322" xr:uid="{FE501AFE-0BD7-47DE-8ABA-923CDD11CBF3}"/>
    <hyperlink ref="H258" r:id="rId323" xr:uid="{05EA4A71-B727-4D1F-AA0D-BFC40CE49E49}"/>
    <hyperlink ref="H259" r:id="rId324" xr:uid="{7F7ADB99-A295-4491-BF2B-A8A3EFAB7330}"/>
    <hyperlink ref="H260" r:id="rId325" xr:uid="{DBBD50E4-C60A-42AF-BD2A-D9B7C9CA41EE}"/>
    <hyperlink ref="H261" r:id="rId326" xr:uid="{C1B74C87-5C5F-4F35-B555-8DED09A03CAD}"/>
    <hyperlink ref="H262" r:id="rId327" xr:uid="{AF17045F-1CBB-499B-B93E-4E66CD8E514D}"/>
    <hyperlink ref="H263" r:id="rId328" xr:uid="{CDB70283-4BD3-466C-9296-82997C7DC6CC}"/>
    <hyperlink ref="H264" r:id="rId329" xr:uid="{DBFA0CA8-255B-4354-A285-D5FD26E94764}"/>
    <hyperlink ref="H265" r:id="rId330" xr:uid="{27C4D62B-6A68-4402-BD67-D2A3AF6537E1}"/>
    <hyperlink ref="H266" r:id="rId331" xr:uid="{590939E4-8AAE-4C55-8EBA-B604454DD842}"/>
    <hyperlink ref="H267" r:id="rId332" xr:uid="{B2BCAC41-7FE4-4085-AF3A-217F860FC51F}"/>
    <hyperlink ref="H268" r:id="rId333" xr:uid="{28EC9E97-6284-412C-9187-CD69F57347D6}"/>
    <hyperlink ref="H269" r:id="rId334" xr:uid="{A5A14451-0F78-469D-8554-D9DFA47F0884}"/>
    <hyperlink ref="H270" r:id="rId335" xr:uid="{AEB279A9-D164-41A4-A135-6CA1D208BD85}"/>
    <hyperlink ref="H271" r:id="rId336" xr:uid="{02220F92-3B8F-4E5B-BF96-EFA13590FA3F}"/>
    <hyperlink ref="H272" r:id="rId337" xr:uid="{C0871EB2-6D77-497F-96B7-77F24332962C}"/>
    <hyperlink ref="H273" r:id="rId338" xr:uid="{33886F55-ACBD-468B-B090-B08F52A1D4E8}"/>
    <hyperlink ref="H274" r:id="rId339" xr:uid="{5FE7F54B-84CB-4FF9-85FA-30BBEEAC0630}"/>
    <hyperlink ref="H275" r:id="rId340" xr:uid="{18D133F9-54EB-4049-9C6E-0F02E140C7D4}"/>
    <hyperlink ref="H276" r:id="rId341" xr:uid="{98CDFB78-5592-4D80-93A7-18A232A1DB62}"/>
    <hyperlink ref="H277" r:id="rId342" xr:uid="{8E7635B0-288D-4079-9402-55BDCD88769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Competitor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shivanigovindwar31@gmail.com</cp:lastModifiedBy>
  <dcterms:created xsi:type="dcterms:W3CDTF">2025-12-18T07:05:48Z</dcterms:created>
  <dcterms:modified xsi:type="dcterms:W3CDTF">2026-01-07T08:57:53Z</dcterms:modified>
</cp:coreProperties>
</file>